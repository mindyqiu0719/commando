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7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qiumingyue/PycharmProjects/dupont/财务数据评分/tools/"/>
    </mc:Choice>
  </mc:AlternateContent>
  <xr:revisionPtr revIDLastSave="0" documentId="13_ncr:1_{A7C3CAFA-92C0-4245-B869-124A04AAA209}" xr6:coauthVersionLast="47" xr6:coauthVersionMax="47" xr10:uidLastSave="{00000000-0000-0000-0000-000000000000}"/>
  <bookViews>
    <workbookView xWindow="0" yWindow="500" windowWidth="21680" windowHeight="16320" activeTab="1" xr2:uid="{47FF981F-81A9-E44F-A16A-802487652D14}"/>
  </bookViews>
  <sheets>
    <sheet name="各行业截面对比" sheetId="14" r:id="rId1"/>
    <sheet name="分行业时间序列" sheetId="19" r:id="rId2"/>
    <sheet name="营收同比" sheetId="9" r:id="rId3"/>
    <sheet name="归母净利润同比" sheetId="10" r:id="rId4"/>
    <sheet name="ROA" sheetId="15" r:id="rId5"/>
    <sheet name="ROE" sheetId="13" r:id="rId6"/>
    <sheet name="销售毛利率" sheetId="16" r:id="rId7"/>
    <sheet name="销售净利率" sheetId="17" r:id="rId8"/>
    <sheet name="资产负债率" sheetId="12" r:id="rId9"/>
    <sheet name="总资产周转率" sheetId="6" r:id="rId10"/>
    <sheet name="营业周期倒数" sheetId="18" r:id="rId11"/>
    <sheet name="tmp" sheetId="11" r:id="rId12"/>
  </sheets>
  <externalReferences>
    <externalReference r:id="rId1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0" l="1"/>
  <c r="B11" i="19"/>
  <c r="B1" i="19"/>
  <c r="C1" i="10"/>
  <c r="B1" i="18" l="1"/>
  <c r="B1" i="11"/>
  <c r="B1" i="6"/>
  <c r="B1" i="12"/>
  <c r="B1" i="17"/>
  <c r="B1" i="13"/>
  <c r="B1" i="15"/>
  <c r="B1" i="9"/>
  <c r="B1" i="16"/>
  <c r="C1" i="18"/>
  <c r="C1" i="11"/>
  <c r="C1" i="15"/>
  <c r="C1" i="9"/>
  <c r="C1" i="6"/>
  <c r="C1" i="17"/>
  <c r="C1" i="16"/>
  <c r="C1" i="12"/>
  <c r="C1" i="13"/>
  <c r="H4" i="18"/>
  <c r="F7" i="18"/>
  <c r="D10" i="18"/>
  <c r="X12" i="18"/>
  <c r="V15" i="18"/>
  <c r="T18" i="18"/>
  <c r="R21" i="18"/>
  <c r="P24" i="18"/>
  <c r="N27" i="18"/>
  <c r="L30" i="18"/>
  <c r="G3" i="18"/>
  <c r="E6" i="18"/>
  <c r="Y8" i="18"/>
  <c r="W11" i="18"/>
  <c r="U14" i="18"/>
  <c r="S17" i="18"/>
  <c r="Q20" i="18"/>
  <c r="O23" i="18"/>
  <c r="M26" i="18"/>
  <c r="K29" i="18"/>
  <c r="F2" i="18"/>
  <c r="L5" i="18"/>
  <c r="J8" i="18"/>
  <c r="H11" i="18"/>
  <c r="F14" i="18"/>
  <c r="D17" i="18"/>
  <c r="Q2" i="18"/>
  <c r="O5" i="18"/>
  <c r="M8" i="18"/>
  <c r="K11" i="18"/>
  <c r="I14" i="18"/>
  <c r="G17" i="18"/>
  <c r="E20" i="18"/>
  <c r="Y22" i="18"/>
  <c r="W25" i="18"/>
  <c r="U28" i="18"/>
  <c r="S31" i="18"/>
  <c r="V4" i="18"/>
  <c r="T7" i="18"/>
  <c r="R10" i="18"/>
  <c r="P13" i="18"/>
  <c r="N16" i="18"/>
  <c r="L19" i="18"/>
  <c r="J22" i="18"/>
  <c r="H25" i="18"/>
  <c r="F28" i="18"/>
  <c r="D31" i="18"/>
  <c r="G4" i="18"/>
  <c r="E7" i="18"/>
  <c r="Y9" i="18"/>
  <c r="W12" i="18"/>
  <c r="U15" i="18"/>
  <c r="S18" i="18"/>
  <c r="Q21" i="18"/>
  <c r="O24" i="18"/>
  <c r="M27" i="18"/>
  <c r="K30" i="18"/>
  <c r="W6" i="18"/>
  <c r="N18" i="18"/>
  <c r="G26" i="18"/>
  <c r="J7" i="18"/>
  <c r="L28" i="18"/>
  <c r="T25" i="18"/>
  <c r="T24" i="18"/>
  <c r="F22" i="18"/>
  <c r="F21" i="18"/>
  <c r="X6" i="18"/>
  <c r="O18" i="18"/>
  <c r="H26" i="18"/>
  <c r="M29" i="18"/>
  <c r="J3" i="18"/>
  <c r="Q31" i="18"/>
  <c r="U29" i="18"/>
  <c r="V29" i="18"/>
  <c r="E13" i="18"/>
  <c r="O22" i="18"/>
  <c r="H30" i="18"/>
  <c r="V18" i="18"/>
  <c r="W14" i="18"/>
  <c r="N13" i="18"/>
  <c r="I15" i="18"/>
  <c r="J15" i="18"/>
  <c r="P28" i="18"/>
  <c r="I4" i="18"/>
  <c r="W15" i="18"/>
  <c r="Q24" i="18"/>
  <c r="H3" i="18"/>
  <c r="J12" i="18"/>
  <c r="F18" i="18"/>
  <c r="O9" i="18"/>
  <c r="I18" i="18"/>
  <c r="Y26" i="18"/>
  <c r="X5" i="18"/>
  <c r="R14" i="18"/>
  <c r="L23" i="18"/>
  <c r="I5" i="18"/>
  <c r="Y13" i="18"/>
  <c r="S22" i="18"/>
  <c r="M31" i="18"/>
  <c r="E29" i="18"/>
  <c r="E9" i="18"/>
  <c r="V30" i="18"/>
  <c r="M21" i="18"/>
  <c r="L16" i="18"/>
  <c r="U5" i="18"/>
  <c r="V5" i="18"/>
  <c r="X23" i="18"/>
  <c r="T2" i="18"/>
  <c r="X28" i="18"/>
  <c r="K13" i="18"/>
  <c r="E22" i="18"/>
  <c r="P3" i="18"/>
  <c r="T9" i="18"/>
  <c r="E4" i="18"/>
  <c r="S15" i="18"/>
  <c r="K27" i="18"/>
  <c r="H9" i="18"/>
  <c r="V20" i="18"/>
  <c r="Q5" i="18"/>
  <c r="I17" i="18"/>
  <c r="U31" i="18"/>
  <c r="R19" i="18"/>
  <c r="F5" i="18"/>
  <c r="G30" i="18"/>
  <c r="P4" i="18"/>
  <c r="N7" i="18"/>
  <c r="L10" i="18"/>
  <c r="J13" i="18"/>
  <c r="H16" i="18"/>
  <c r="F19" i="18"/>
  <c r="D22" i="18"/>
  <c r="X24" i="18"/>
  <c r="V27" i="18"/>
  <c r="T30" i="18"/>
  <c r="O3" i="18"/>
  <c r="M6" i="18"/>
  <c r="K9" i="18"/>
  <c r="I12" i="18"/>
  <c r="G15" i="18"/>
  <c r="E18" i="18"/>
  <c r="Y20" i="18"/>
  <c r="W23" i="18"/>
  <c r="U26" i="18"/>
  <c r="S29" i="18"/>
  <c r="N2" i="18"/>
  <c r="T5" i="18"/>
  <c r="R8" i="18"/>
  <c r="P11" i="18"/>
  <c r="N14" i="18"/>
  <c r="L17" i="18"/>
  <c r="Y2" i="18"/>
  <c r="W5" i="18"/>
  <c r="U8" i="18"/>
  <c r="S11" i="18"/>
  <c r="Q14" i="18"/>
  <c r="O17" i="18"/>
  <c r="M20" i="18"/>
  <c r="K23" i="18"/>
  <c r="I26" i="18"/>
  <c r="G29" i="18"/>
  <c r="J2" i="18"/>
  <c r="H5" i="18"/>
  <c r="F8" i="18"/>
  <c r="D11" i="18"/>
  <c r="X13" i="18"/>
  <c r="V16" i="18"/>
  <c r="T19" i="18"/>
  <c r="R22" i="18"/>
  <c r="P25" i="18"/>
  <c r="N28" i="18"/>
  <c r="L31" i="18"/>
  <c r="O4" i="18"/>
  <c r="M7" i="18"/>
  <c r="K10" i="18"/>
  <c r="I13" i="18"/>
  <c r="G16" i="18"/>
  <c r="E19" i="18"/>
  <c r="Y21" i="18"/>
  <c r="W24" i="18"/>
  <c r="U27" i="18"/>
  <c r="S30" i="18"/>
  <c r="K8" i="18"/>
  <c r="J19" i="18"/>
  <c r="H27" i="18"/>
  <c r="H10" i="18"/>
  <c r="J31" i="18"/>
  <c r="R28" i="18"/>
  <c r="R27" i="18"/>
  <c r="D25" i="18"/>
  <c r="D24" i="18"/>
  <c r="L8" i="18"/>
  <c r="P19" i="18"/>
  <c r="I27" i="18"/>
  <c r="G6" i="18"/>
  <c r="F9" i="18"/>
  <c r="O6" i="18"/>
  <c r="R3" i="18"/>
  <c r="W2" i="18"/>
  <c r="O14" i="18"/>
  <c r="P23" i="18"/>
  <c r="I31" i="18"/>
  <c r="T21" i="18"/>
  <c r="W18" i="18"/>
  <c r="X18" i="18"/>
  <c r="H19" i="18"/>
  <c r="I19" i="18"/>
  <c r="L24" i="18"/>
  <c r="R24" i="18"/>
  <c r="U21" i="18"/>
  <c r="X22" i="18"/>
  <c r="G22" i="18"/>
  <c r="T22" i="18"/>
  <c r="E10" i="18"/>
  <c r="S21" i="18"/>
  <c r="M30" i="18"/>
  <c r="L9" i="18"/>
  <c r="S3" i="18"/>
  <c r="K15" i="18"/>
  <c r="E24" i="18"/>
  <c r="V8" i="18"/>
  <c r="P17" i="18"/>
  <c r="J26" i="18"/>
  <c r="K2" i="18"/>
  <c r="E11" i="18"/>
  <c r="U19" i="18"/>
  <c r="O28" i="18"/>
  <c r="L21" i="18"/>
  <c r="H6" i="18"/>
  <c r="D29" i="18"/>
  <c r="F29" i="18"/>
  <c r="U13" i="18"/>
  <c r="M17" i="18"/>
  <c r="P27" i="18"/>
  <c r="V25" i="18"/>
  <c r="R5" i="18"/>
  <c r="H20" i="18"/>
  <c r="Q4" i="18"/>
  <c r="G19" i="18"/>
  <c r="U30" i="18"/>
  <c r="P15" i="18"/>
  <c r="U12" i="18"/>
  <c r="M24" i="18"/>
  <c r="J6" i="18"/>
  <c r="X17" i="18"/>
  <c r="P29" i="18"/>
  <c r="M11" i="18"/>
  <c r="Y25" i="18"/>
  <c r="H22" i="18"/>
  <c r="P10" i="18"/>
  <c r="T12" i="18"/>
  <c r="D2" i="18"/>
  <c r="X4" i="18"/>
  <c r="V7" i="18"/>
  <c r="T10" i="18"/>
  <c r="R13" i="18"/>
  <c r="P16" i="18"/>
  <c r="N19" i="18"/>
  <c r="L22" i="18"/>
  <c r="J25" i="18"/>
  <c r="H28" i="18"/>
  <c r="F31" i="18"/>
  <c r="W3" i="18"/>
  <c r="U6" i="18"/>
  <c r="S9" i="18"/>
  <c r="Q12" i="18"/>
  <c r="O15" i="18"/>
  <c r="M18" i="18"/>
  <c r="K21" i="18"/>
  <c r="I24" i="18"/>
  <c r="G27" i="18"/>
  <c r="E30" i="18"/>
  <c r="V2" i="18"/>
  <c r="F6" i="18"/>
  <c r="D9" i="18"/>
  <c r="X11" i="18"/>
  <c r="V14" i="18"/>
  <c r="T17" i="18"/>
  <c r="K3" i="18"/>
  <c r="I6" i="18"/>
  <c r="G9" i="18"/>
  <c r="E12" i="18"/>
  <c r="Y14" i="18"/>
  <c r="W17" i="18"/>
  <c r="U20" i="18"/>
  <c r="S23" i="18"/>
  <c r="Q26" i="18"/>
  <c r="O29" i="18"/>
  <c r="R2" i="18"/>
  <c r="P5" i="18"/>
  <c r="N8" i="18"/>
  <c r="L11" i="18"/>
  <c r="J14" i="18"/>
  <c r="H17" i="18"/>
  <c r="F20" i="18"/>
  <c r="D23" i="18"/>
  <c r="X25" i="18"/>
  <c r="V28" i="18"/>
  <c r="T31" i="18"/>
  <c r="W4" i="18"/>
  <c r="U7" i="18"/>
  <c r="S10" i="18"/>
  <c r="Q13" i="18"/>
  <c r="O16" i="18"/>
  <c r="M19" i="18"/>
  <c r="K22" i="18"/>
  <c r="I25" i="18"/>
  <c r="G28" i="18"/>
  <c r="E31" i="18"/>
  <c r="U9" i="18"/>
  <c r="K20" i="18"/>
  <c r="D28" i="18"/>
  <c r="P14" i="18"/>
  <c r="S4" i="18"/>
  <c r="P31" i="18"/>
  <c r="P30" i="18"/>
  <c r="X27" i="18"/>
  <c r="F26" i="18"/>
  <c r="V9" i="18"/>
  <c r="L20" i="18"/>
  <c r="J28" i="18"/>
  <c r="Y11" i="18"/>
  <c r="D12" i="18"/>
  <c r="M9" i="18"/>
  <c r="N9" i="18"/>
  <c r="K4" i="18"/>
  <c r="Y15" i="18"/>
  <c r="X2" i="18"/>
  <c r="D21" i="18"/>
  <c r="R25" i="18"/>
  <c r="G7" i="18"/>
  <c r="U18" i="18"/>
  <c r="O27" i="18"/>
  <c r="N6" i="18"/>
  <c r="H15" i="18"/>
  <c r="Q6" i="18"/>
  <c r="M12" i="18"/>
  <c r="G21" i="18"/>
  <c r="D3" i="18"/>
  <c r="T11" i="18"/>
  <c r="N20" i="18"/>
  <c r="H29" i="18"/>
  <c r="G8" i="18"/>
  <c r="W16" i="18"/>
  <c r="Q25" i="18"/>
  <c r="I11" i="18"/>
  <c r="N17" i="18"/>
  <c r="Q3" i="18"/>
  <c r="J11" i="18"/>
  <c r="U17" i="18"/>
  <c r="V13" i="18"/>
  <c r="M25" i="18"/>
  <c r="S24" i="18"/>
  <c r="E25" i="18"/>
  <c r="N11" i="18"/>
  <c r="J17" i="18"/>
  <c r="D26" i="18"/>
  <c r="O7" i="18"/>
  <c r="I16" i="18"/>
  <c r="W27" i="18"/>
  <c r="R12" i="18"/>
  <c r="Y6" i="18"/>
  <c r="Q18" i="18"/>
  <c r="I30" i="18"/>
  <c r="F12" i="18"/>
  <c r="R26" i="18"/>
  <c r="O8" i="18"/>
  <c r="G20" i="18"/>
  <c r="W28" i="18"/>
  <c r="F30" i="18"/>
  <c r="Y7" i="18"/>
  <c r="N22" i="18"/>
  <c r="G18" i="18"/>
  <c r="L2" i="18"/>
  <c r="J5" i="18"/>
  <c r="H8" i="18"/>
  <c r="F11" i="18"/>
  <c r="D14" i="18"/>
  <c r="X16" i="18"/>
  <c r="V19" i="18"/>
  <c r="N31" i="18"/>
  <c r="Y12" i="18"/>
  <c r="W29" i="18"/>
  <c r="V3" i="18"/>
  <c r="T6" i="18"/>
  <c r="R9" i="18"/>
  <c r="P12" i="18"/>
  <c r="N15" i="18"/>
  <c r="L18" i="18"/>
  <c r="J21" i="18"/>
  <c r="H24" i="18"/>
  <c r="F27" i="18"/>
  <c r="D30" i="18"/>
  <c r="U2" i="18"/>
  <c r="S5" i="18"/>
  <c r="Q8" i="18"/>
  <c r="O11" i="18"/>
  <c r="M14" i="18"/>
  <c r="K17" i="18"/>
  <c r="I20" i="18"/>
  <c r="G23" i="18"/>
  <c r="E26" i="18"/>
  <c r="Y28" i="18"/>
  <c r="W31" i="18"/>
  <c r="R4" i="18"/>
  <c r="X7" i="18"/>
  <c r="V10" i="18"/>
  <c r="T13" i="18"/>
  <c r="R16" i="18"/>
  <c r="I2" i="18"/>
  <c r="G5" i="18"/>
  <c r="E8" i="18"/>
  <c r="Y10" i="18"/>
  <c r="W13" i="18"/>
  <c r="U16" i="18"/>
  <c r="S19" i="18"/>
  <c r="Q22" i="18"/>
  <c r="O25" i="18"/>
  <c r="M28" i="18"/>
  <c r="K31" i="18"/>
  <c r="N4" i="18"/>
  <c r="L7" i="18"/>
  <c r="J10" i="18"/>
  <c r="H13" i="18"/>
  <c r="F16" i="18"/>
  <c r="D19" i="18"/>
  <c r="X21" i="18"/>
  <c r="V24" i="18"/>
  <c r="T27" i="18"/>
  <c r="R30" i="18"/>
  <c r="U3" i="18"/>
  <c r="S6" i="18"/>
  <c r="Q9" i="18"/>
  <c r="O12" i="18"/>
  <c r="M15" i="18"/>
  <c r="K18" i="18"/>
  <c r="I21" i="18"/>
  <c r="G24" i="18"/>
  <c r="E27" i="18"/>
  <c r="Y29" i="18"/>
  <c r="M5" i="18"/>
  <c r="E17" i="18"/>
  <c r="F25" i="18"/>
  <c r="L4" i="18"/>
  <c r="O26" i="18"/>
  <c r="V22" i="18"/>
  <c r="V21" i="18"/>
  <c r="D20" i="18"/>
  <c r="T16" i="18"/>
  <c r="N5" i="18"/>
  <c r="F17" i="18"/>
  <c r="L25" i="18"/>
  <c r="N25" i="18"/>
  <c r="N29" i="18"/>
  <c r="S28" i="18"/>
  <c r="W26" i="18"/>
  <c r="X26" i="18"/>
  <c r="Q11" i="18"/>
  <c r="N21" i="18"/>
  <c r="L29" i="18"/>
  <c r="D16" i="18"/>
  <c r="O10" i="18"/>
  <c r="R7" i="18"/>
  <c r="W10" i="18"/>
  <c r="X10" i="18"/>
  <c r="P8" i="18"/>
  <c r="L14" i="18"/>
  <c r="F23" i="18"/>
  <c r="V31" i="18"/>
  <c r="M10" i="18"/>
  <c r="Y24" i="18"/>
  <c r="V6" i="18"/>
  <c r="D5" i="18"/>
  <c r="W9" i="18"/>
  <c r="O21" i="18"/>
  <c r="L3" i="18"/>
  <c r="D15" i="18"/>
  <c r="T23" i="18"/>
  <c r="S2" i="18"/>
  <c r="K14" i="18"/>
  <c r="E23" i="18"/>
  <c r="S12" i="18"/>
  <c r="M13" i="18"/>
  <c r="X31" i="18"/>
  <c r="T20" i="18"/>
  <c r="F3" i="18"/>
  <c r="T14" i="18"/>
  <c r="L26" i="18"/>
  <c r="W7" i="18"/>
  <c r="O19" i="18"/>
  <c r="G31" i="18"/>
  <c r="D13" i="18"/>
  <c r="K7" i="18"/>
  <c r="Y18" i="18"/>
  <c r="Q30" i="18"/>
  <c r="N12" i="18"/>
  <c r="F24" i="18"/>
  <c r="Y5" i="18"/>
  <c r="Q17" i="18"/>
  <c r="I29" i="18"/>
  <c r="X30" i="18"/>
  <c r="K12" i="18"/>
  <c r="J23" i="18"/>
  <c r="U25" i="18"/>
  <c r="G10" i="18"/>
  <c r="R11" i="18"/>
  <c r="V26" i="18"/>
  <c r="W8" i="18"/>
  <c r="D8" i="18"/>
  <c r="Y23" i="18"/>
  <c r="N30" i="18"/>
  <c r="D18" i="18"/>
  <c r="J16" i="18"/>
  <c r="I22" i="18"/>
  <c r="T15" i="18"/>
  <c r="I9" i="18"/>
  <c r="W20" i="18"/>
  <c r="Q23" i="18"/>
  <c r="S20" i="18"/>
  <c r="R20" i="18"/>
  <c r="T28" i="18"/>
  <c r="P20" i="18"/>
  <c r="E2" i="18"/>
  <c r="K25" i="18"/>
  <c r="G2" i="18"/>
  <c r="R6" i="18"/>
  <c r="X29" i="18"/>
  <c r="M23" i="18"/>
  <c r="K16" i="18"/>
  <c r="R23" i="18"/>
  <c r="N26" i="18"/>
  <c r="R31" i="18"/>
  <c r="J9" i="18"/>
  <c r="M2" i="18"/>
  <c r="S25" i="18"/>
  <c r="H2" i="18"/>
  <c r="G25" i="18"/>
  <c r="R18" i="18"/>
  <c r="U23" i="18"/>
  <c r="X19" i="18"/>
  <c r="P26" i="18"/>
  <c r="J27" i="18"/>
  <c r="P6" i="18"/>
  <c r="N23" i="18"/>
  <c r="Q16" i="18"/>
  <c r="M4" i="18"/>
  <c r="P9" i="18"/>
  <c r="S14" i="18"/>
  <c r="X14" i="18"/>
  <c r="I7" i="18"/>
  <c r="Y27" i="18"/>
  <c r="S8" i="18"/>
  <c r="N3" i="18"/>
  <c r="F15" i="18"/>
  <c r="T26" i="18"/>
  <c r="I8" i="18"/>
  <c r="W19" i="18"/>
  <c r="O31" i="18"/>
  <c r="L13" i="18"/>
  <c r="S7" i="18"/>
  <c r="K19" i="18"/>
  <c r="Y30" i="18"/>
  <c r="V12" i="18"/>
  <c r="N24" i="18"/>
  <c r="K6" i="18"/>
  <c r="Y17" i="18"/>
  <c r="Q29" i="18"/>
  <c r="Y31" i="18"/>
  <c r="S16" i="18"/>
  <c r="K24" i="18"/>
  <c r="E21" i="18"/>
  <c r="P18" i="18"/>
  <c r="F13" i="18"/>
  <c r="T29" i="18"/>
  <c r="D6" i="18"/>
  <c r="R17" i="18"/>
  <c r="J29" i="18"/>
  <c r="U10" i="18"/>
  <c r="M22" i="18"/>
  <c r="X3" i="18"/>
  <c r="X15" i="18"/>
  <c r="I10" i="18"/>
  <c r="W21" i="18"/>
  <c r="T3" i="18"/>
  <c r="L15" i="18"/>
  <c r="D27" i="18"/>
  <c r="O20" i="18"/>
  <c r="O2" i="18"/>
  <c r="P22" i="18"/>
  <c r="H31" i="18"/>
  <c r="Q19" i="18"/>
  <c r="E5" i="18"/>
  <c r="R29" i="18"/>
  <c r="G11" i="18"/>
  <c r="J4" i="18"/>
  <c r="Q10" i="18"/>
  <c r="F4" i="18"/>
  <c r="L27" i="18"/>
  <c r="Y3" i="18"/>
  <c r="L12" i="18"/>
  <c r="H18" i="18"/>
  <c r="I3" i="18"/>
  <c r="X8" i="18"/>
  <c r="S13" i="18"/>
  <c r="H7" i="18"/>
  <c r="G13" i="18"/>
  <c r="U24" i="18"/>
  <c r="J18" i="18"/>
  <c r="U11" i="18"/>
  <c r="G14" i="18"/>
  <c r="P2" i="18"/>
  <c r="J20" i="18"/>
  <c r="Q7" i="18"/>
  <c r="X20" i="18"/>
  <c r="E14" i="18"/>
  <c r="P7" i="18"/>
  <c r="O13" i="18"/>
  <c r="D7" i="18"/>
  <c r="J30" i="18"/>
  <c r="Q15" i="18"/>
  <c r="D4" i="18"/>
  <c r="H23" i="18"/>
  <c r="Q27" i="18"/>
  <c r="V11" i="18"/>
  <c r="I28" i="18"/>
  <c r="S27" i="18"/>
  <c r="E3" i="18"/>
  <c r="I23" i="18"/>
  <c r="Y19" i="18"/>
  <c r="O30" i="18"/>
  <c r="V17" i="18"/>
  <c r="T4" i="18"/>
  <c r="G12" i="18"/>
  <c r="Y4" i="18"/>
  <c r="F10" i="18"/>
  <c r="E16" i="18"/>
  <c r="H21" i="18"/>
  <c r="K26" i="18"/>
  <c r="H14" i="18"/>
  <c r="K28" i="18"/>
  <c r="J24" i="18"/>
  <c r="T8" i="18"/>
  <c r="L6" i="18"/>
  <c r="U22" i="18"/>
  <c r="W22" i="18"/>
  <c r="H12" i="18"/>
  <c r="V23" i="18"/>
  <c r="K5" i="18"/>
  <c r="Y16" i="18"/>
  <c r="Q28" i="18"/>
  <c r="N10" i="18"/>
  <c r="U4" i="18"/>
  <c r="M16" i="18"/>
  <c r="E28" i="18"/>
  <c r="X9" i="18"/>
  <c r="P21" i="18"/>
  <c r="M3" i="18"/>
  <c r="E15" i="18"/>
  <c r="S26" i="18"/>
  <c r="R15" i="18"/>
  <c r="W30" i="18"/>
  <c r="M30" i="17"/>
  <c r="L8" i="17"/>
  <c r="U30" i="16"/>
  <c r="F7" i="15"/>
  <c r="G3" i="17"/>
  <c r="G15" i="17"/>
  <c r="S17" i="17"/>
  <c r="F23" i="17"/>
  <c r="P21" i="17"/>
  <c r="U20" i="16"/>
  <c r="P19" i="15"/>
  <c r="R15" i="17"/>
  <c r="V25" i="17"/>
  <c r="R27" i="17"/>
  <c r="V31" i="17"/>
  <c r="D7" i="17"/>
  <c r="I6" i="16"/>
  <c r="D5" i="15"/>
  <c r="N25" i="17"/>
  <c r="K19" i="17"/>
  <c r="J5" i="17"/>
  <c r="R17" i="17"/>
  <c r="S22" i="17"/>
  <c r="T19" i="16"/>
  <c r="K24" i="15"/>
  <c r="H13" i="17"/>
  <c r="I30" i="17"/>
  <c r="Q2" i="17"/>
  <c r="H19" i="17"/>
  <c r="I27" i="16"/>
  <c r="W7" i="17"/>
  <c r="N12" i="17"/>
  <c r="H28" i="16"/>
  <c r="P30" i="16"/>
  <c r="X25" i="15"/>
  <c r="Q16" i="17"/>
  <c r="S4" i="16"/>
  <c r="V8" i="17"/>
  <c r="X9" i="16"/>
  <c r="X30" i="17"/>
  <c r="N27" i="15"/>
  <c r="T17" i="17"/>
  <c r="Y24" i="16"/>
  <c r="M26" i="17"/>
  <c r="F5" i="17"/>
  <c r="D6" i="17"/>
  <c r="Q3" i="17"/>
  <c r="M24" i="17"/>
  <c r="N14" i="16"/>
  <c r="L17" i="15"/>
  <c r="K28" i="13"/>
  <c r="U21" i="17"/>
  <c r="P10" i="17"/>
  <c r="R6" i="16"/>
  <c r="Y30" i="17"/>
  <c r="I24" i="16"/>
  <c r="M27" i="17"/>
  <c r="D29" i="15"/>
  <c r="O21" i="13"/>
  <c r="Y31" i="12"/>
  <c r="J25" i="15"/>
  <c r="J24" i="17"/>
  <c r="E22" i="15"/>
  <c r="J7" i="17"/>
  <c r="E4" i="16"/>
  <c r="T5" i="16"/>
  <c r="J11" i="16"/>
  <c r="U19" i="15"/>
  <c r="V19" i="13"/>
  <c r="R27" i="12"/>
  <c r="T7" i="16"/>
  <c r="X19" i="17"/>
  <c r="F7" i="17"/>
  <c r="F5" i="16"/>
  <c r="Q23" i="15"/>
  <c r="M6" i="12"/>
  <c r="W31" i="16"/>
  <c r="E23" i="17"/>
  <c r="W31" i="17"/>
  <c r="J27" i="17"/>
  <c r="U24" i="16"/>
  <c r="P29" i="16"/>
  <c r="D11" i="16"/>
  <c r="Q6" i="17"/>
  <c r="H27" i="17"/>
  <c r="S31" i="16"/>
  <c r="X26" i="15"/>
  <c r="L13" i="13"/>
  <c r="Y7" i="16"/>
  <c r="V15" i="16"/>
  <c r="J8" i="17"/>
  <c r="X17" i="17"/>
  <c r="J18" i="16"/>
  <c r="T22" i="17"/>
  <c r="X12" i="15"/>
  <c r="Y5" i="17"/>
  <c r="I10" i="17"/>
  <c r="Q5" i="16"/>
  <c r="Q26" i="15"/>
  <c r="W26" i="17"/>
  <c r="O11" i="17"/>
  <c r="I8" i="17"/>
  <c r="M8" i="16"/>
  <c r="R3" i="15"/>
  <c r="L9" i="17"/>
  <c r="I6" i="17"/>
  <c r="O15" i="17"/>
  <c r="S11" i="16"/>
  <c r="X6" i="15"/>
  <c r="N24" i="17"/>
  <c r="U26" i="17"/>
  <c r="V9" i="17"/>
  <c r="P5" i="16"/>
  <c r="E12" i="15"/>
  <c r="P23" i="17"/>
  <c r="G17" i="17"/>
  <c r="X23" i="16"/>
  <c r="L30" i="15"/>
  <c r="V2" i="17"/>
  <c r="L13" i="17"/>
  <c r="P15" i="17"/>
  <c r="I16" i="17"/>
  <c r="E11" i="17"/>
  <c r="N4" i="16"/>
  <c r="S12" i="15"/>
  <c r="K3" i="17"/>
  <c r="G13" i="17"/>
  <c r="L2" i="17"/>
  <c r="Y24" i="17"/>
  <c r="J30" i="17"/>
  <c r="O29" i="16"/>
  <c r="J28" i="15"/>
  <c r="M12" i="17"/>
  <c r="W25" i="17"/>
  <c r="P28" i="17"/>
  <c r="E18" i="17"/>
  <c r="X2" i="17"/>
  <c r="U24" i="17"/>
  <c r="E17" i="16"/>
  <c r="O23" i="15"/>
  <c r="T29" i="17"/>
  <c r="I7" i="17"/>
  <c r="M9" i="17"/>
  <c r="U2" i="17"/>
  <c r="I15" i="17"/>
  <c r="U7" i="16"/>
  <c r="K29" i="17"/>
  <c r="D31" i="16"/>
  <c r="D2" i="17"/>
  <c r="T7" i="17"/>
  <c r="N2" i="17"/>
  <c r="V26" i="16"/>
  <c r="F29" i="15"/>
  <c r="O19" i="17"/>
  <c r="S12" i="17"/>
  <c r="M14" i="17"/>
  <c r="G19" i="16"/>
  <c r="W11" i="15"/>
  <c r="Y23" i="17"/>
  <c r="F2" i="17"/>
  <c r="Q4" i="17"/>
  <c r="X28" i="16"/>
  <c r="L20" i="16"/>
  <c r="P19" i="17"/>
  <c r="F30" i="17"/>
  <c r="X31" i="17"/>
  <c r="J21" i="17"/>
  <c r="P24" i="15"/>
  <c r="S3" i="17"/>
  <c r="T13" i="17"/>
  <c r="W21" i="16"/>
  <c r="N13" i="15"/>
  <c r="F18" i="13"/>
  <c r="J8" i="16"/>
  <c r="G16" i="17"/>
  <c r="F11" i="17"/>
  <c r="Q4" i="16"/>
  <c r="F26" i="17"/>
  <c r="M16" i="17"/>
  <c r="Y3" i="15"/>
  <c r="E26" i="17"/>
  <c r="J15" i="17"/>
  <c r="T6" i="17"/>
  <c r="F29" i="17"/>
  <c r="Q25" i="16"/>
  <c r="S10" i="15"/>
  <c r="I18" i="17"/>
  <c r="I24" i="17"/>
  <c r="U19" i="16"/>
  <c r="P11" i="17"/>
  <c r="O21" i="16"/>
  <c r="M27" i="16"/>
  <c r="G20" i="15"/>
  <c r="Y22" i="10"/>
  <c r="T16" i="16"/>
  <c r="O16" i="17"/>
  <c r="O22" i="15"/>
  <c r="L29" i="16"/>
  <c r="N30" i="16"/>
  <c r="W2" i="16"/>
  <c r="W25" i="15"/>
  <c r="N9" i="13"/>
  <c r="L29" i="12"/>
  <c r="F2" i="15"/>
  <c r="X12" i="17"/>
  <c r="W28" i="17"/>
  <c r="X20" i="15"/>
  <c r="E18" i="12"/>
  <c r="E2" i="16"/>
  <c r="P12" i="16"/>
  <c r="E28" i="17"/>
  <c r="P4" i="16"/>
  <c r="I14" i="17"/>
  <c r="Y2" i="17"/>
  <c r="D22" i="17"/>
  <c r="L22" i="17"/>
  <c r="K2" i="16"/>
  <c r="F20" i="15"/>
  <c r="R2" i="17"/>
  <c r="X7" i="17"/>
  <c r="N20" i="16"/>
  <c r="D25" i="17"/>
  <c r="E28" i="16"/>
  <c r="R11" i="17"/>
  <c r="G11" i="17"/>
  <c r="G25" i="17"/>
  <c r="I28" i="16"/>
  <c r="N30" i="15"/>
  <c r="G19" i="17"/>
  <c r="H22" i="17"/>
  <c r="Q7" i="17"/>
  <c r="W8" i="16"/>
  <c r="V28" i="15"/>
  <c r="I25" i="16"/>
  <c r="T4" i="17"/>
  <c r="R4" i="16"/>
  <c r="I7" i="15"/>
  <c r="K13" i="16"/>
  <c r="V4" i="17"/>
  <c r="H8" i="16"/>
  <c r="U10" i="15"/>
  <c r="G30" i="13"/>
  <c r="M13" i="17"/>
  <c r="S8" i="17"/>
  <c r="L27" i="16"/>
  <c r="Q28" i="17"/>
  <c r="O10" i="16"/>
  <c r="F27" i="16"/>
  <c r="Y21" i="16"/>
  <c r="J14" i="16"/>
  <c r="H30" i="17"/>
  <c r="O28" i="16"/>
  <c r="U21" i="15"/>
  <c r="X3" i="13"/>
  <c r="U10" i="16"/>
  <c r="S3" i="15"/>
  <c r="L6" i="15"/>
  <c r="N27" i="17"/>
  <c r="R4" i="17"/>
  <c r="E5" i="17"/>
  <c r="G2" i="15"/>
  <c r="W30" i="15"/>
  <c r="M24" i="12"/>
  <c r="G23" i="12"/>
  <c r="U22" i="15"/>
  <c r="J6" i="10"/>
  <c r="R8" i="15"/>
  <c r="F24" i="12"/>
  <c r="D9" i="15"/>
  <c r="H29" i="15"/>
  <c r="W27" i="10"/>
  <c r="O16" i="10"/>
  <c r="D13" i="17"/>
  <c r="N29" i="17"/>
  <c r="R28" i="16"/>
  <c r="U31" i="17"/>
  <c r="J31" i="16"/>
  <c r="N7" i="13"/>
  <c r="I12" i="13"/>
  <c r="J17" i="15"/>
  <c r="I9" i="17"/>
  <c r="G26" i="15"/>
  <c r="S12" i="16"/>
  <c r="L4" i="16"/>
  <c r="Y6" i="16"/>
  <c r="V12" i="15"/>
  <c r="D14" i="10"/>
  <c r="W7" i="12"/>
  <c r="Q23" i="9"/>
  <c r="O12" i="17"/>
  <c r="E21" i="17"/>
  <c r="K27" i="16"/>
  <c r="S6" i="15"/>
  <c r="O21" i="10"/>
  <c r="K28" i="16"/>
  <c r="W27" i="17"/>
  <c r="F26" i="15"/>
  <c r="W19" i="16"/>
  <c r="G27" i="16"/>
  <c r="O13" i="16"/>
  <c r="F16" i="15"/>
  <c r="F16" i="12"/>
  <c r="D25" i="12"/>
  <c r="T16" i="17"/>
  <c r="V18" i="16"/>
  <c r="W24" i="17"/>
  <c r="R5" i="15"/>
  <c r="J14" i="13"/>
  <c r="I5" i="13"/>
  <c r="S13" i="15"/>
  <c r="X15" i="16"/>
  <c r="E24" i="15"/>
  <c r="L30" i="16"/>
  <c r="K9" i="16"/>
  <c r="P16" i="15"/>
  <c r="K30" i="16"/>
  <c r="D2" i="12"/>
  <c r="Q13" i="13"/>
  <c r="T26" i="17"/>
  <c r="W9" i="15"/>
  <c r="P18" i="16"/>
  <c r="T29" i="15"/>
  <c r="X3" i="16"/>
  <c r="K19" i="15"/>
  <c r="I16" i="12"/>
  <c r="O26" i="13"/>
  <c r="J7" i="13"/>
  <c r="M31" i="16"/>
  <c r="V2" i="12"/>
  <c r="S16" i="15"/>
  <c r="V31" i="12"/>
  <c r="V12" i="13"/>
  <c r="I2" i="9"/>
  <c r="D14" i="9"/>
  <c r="N7" i="10"/>
  <c r="F2" i="6"/>
  <c r="T10" i="12"/>
  <c r="W15" i="13"/>
  <c r="X31" i="10"/>
  <c r="C8" i="12"/>
  <c r="F22" i="12"/>
  <c r="T12" i="13"/>
  <c r="M10" i="12"/>
  <c r="C6" i="13"/>
  <c r="E26" i="15"/>
  <c r="G5" i="15"/>
  <c r="D22" i="13"/>
  <c r="P26" i="13"/>
  <c r="T20" i="16"/>
  <c r="E3" i="16"/>
  <c r="X24" i="15"/>
  <c r="N7" i="16"/>
  <c r="M3" i="16"/>
  <c r="F10" i="16"/>
  <c r="K9" i="15"/>
  <c r="P12" i="12"/>
  <c r="L18" i="9"/>
  <c r="Q21" i="15"/>
  <c r="R14" i="12"/>
  <c r="T25" i="17"/>
  <c r="W4" i="16"/>
  <c r="L12" i="17"/>
  <c r="D31" i="17"/>
  <c r="D29" i="17"/>
  <c r="D4" i="16"/>
  <c r="L6" i="17"/>
  <c r="R16" i="17"/>
  <c r="R25" i="17"/>
  <c r="R12" i="17"/>
  <c r="J12" i="16"/>
  <c r="M21" i="15"/>
  <c r="D30" i="17"/>
  <c r="R28" i="17"/>
  <c r="X15" i="17"/>
  <c r="E22" i="16"/>
  <c r="R21" i="15"/>
  <c r="H2" i="17"/>
  <c r="T12" i="17"/>
  <c r="X14" i="17"/>
  <c r="D28" i="17"/>
  <c r="V10" i="15"/>
  <c r="H25" i="17"/>
  <c r="X22" i="17"/>
  <c r="H9" i="16"/>
  <c r="G9" i="15"/>
  <c r="J10" i="13"/>
  <c r="U8" i="16"/>
  <c r="L2" i="16"/>
  <c r="O27" i="17"/>
  <c r="D21" i="16"/>
  <c r="Q18" i="17"/>
  <c r="K2" i="17"/>
  <c r="L20" i="15"/>
  <c r="U20" i="17"/>
  <c r="Y13" i="17"/>
  <c r="F10" i="17"/>
  <c r="T19" i="17"/>
  <c r="Q31" i="16"/>
  <c r="G18" i="13"/>
  <c r="U7" i="17"/>
  <c r="D3" i="17"/>
  <c r="K25" i="17"/>
  <c r="F21" i="17"/>
  <c r="V8" i="16"/>
  <c r="X18" i="16"/>
  <c r="L28" i="13"/>
  <c r="T5" i="13"/>
  <c r="K25" i="15"/>
  <c r="R29" i="16"/>
  <c r="P22" i="15"/>
  <c r="V3" i="17"/>
  <c r="V11" i="17"/>
  <c r="X13" i="16"/>
  <c r="R22" i="15"/>
  <c r="Q2" i="12"/>
  <c r="I19" i="17"/>
  <c r="J23" i="15"/>
  <c r="F22" i="17"/>
  <c r="L18" i="16"/>
  <c r="Y20" i="15"/>
  <c r="X22" i="13"/>
  <c r="P31" i="16"/>
  <c r="I12" i="16"/>
  <c r="T10" i="17"/>
  <c r="F31" i="16"/>
  <c r="W14" i="17"/>
  <c r="O18" i="17"/>
  <c r="H23" i="17"/>
  <c r="E4" i="17"/>
  <c r="T8" i="16"/>
  <c r="O16" i="15"/>
  <c r="U15" i="17"/>
  <c r="V29" i="17"/>
  <c r="K26" i="16"/>
  <c r="Y14" i="17"/>
  <c r="Q21" i="16"/>
  <c r="X28" i="17"/>
  <c r="X18" i="17"/>
  <c r="R6" i="17"/>
  <c r="X27" i="16"/>
  <c r="O30" i="15"/>
  <c r="T5" i="17"/>
  <c r="P2" i="17"/>
  <c r="W17" i="17"/>
  <c r="W26" i="16"/>
  <c r="I25" i="15"/>
  <c r="E6" i="15"/>
  <c r="U8" i="17"/>
  <c r="K4" i="16"/>
  <c r="I6" i="15"/>
  <c r="S23" i="16"/>
  <c r="S25" i="17"/>
  <c r="I8" i="16"/>
  <c r="N10" i="15"/>
  <c r="K25" i="12"/>
  <c r="D22" i="16"/>
  <c r="Y18" i="17"/>
  <c r="Q9" i="16"/>
  <c r="R7" i="17"/>
  <c r="Q14" i="16"/>
  <c r="X19" i="16"/>
  <c r="L11" i="15"/>
  <c r="X27" i="17"/>
  <c r="N30" i="17"/>
  <c r="F19" i="17"/>
  <c r="N25" i="15"/>
  <c r="D24" i="12"/>
  <c r="G10" i="16"/>
  <c r="T3" i="15"/>
  <c r="M10" i="15"/>
  <c r="Q9" i="17"/>
  <c r="Y17" i="17"/>
  <c r="O14" i="17"/>
  <c r="H6" i="15"/>
  <c r="N4" i="15"/>
  <c r="L5" i="13"/>
  <c r="J28" i="9"/>
  <c r="I23" i="15"/>
  <c r="L18" i="10"/>
  <c r="F9" i="15"/>
  <c r="I31" i="9"/>
  <c r="N9" i="15"/>
  <c r="G26" i="13"/>
  <c r="R18" i="17"/>
  <c r="G28" i="16"/>
  <c r="S27" i="17"/>
  <c r="P16" i="17"/>
  <c r="D12" i="17"/>
  <c r="E31" i="16"/>
  <c r="U6" i="17"/>
  <c r="O10" i="17"/>
  <c r="U18" i="17"/>
  <c r="O6" i="17"/>
  <c r="M5" i="16"/>
  <c r="P14" i="15"/>
  <c r="E30" i="17"/>
  <c r="J11" i="17"/>
  <c r="U9" i="17"/>
  <c r="H15" i="16"/>
  <c r="U14" i="15"/>
  <c r="L28" i="17"/>
  <c r="G29" i="17"/>
  <c r="S24" i="17"/>
  <c r="V12" i="17"/>
  <c r="I27" i="15"/>
  <c r="J9" i="17"/>
  <c r="F8" i="17"/>
  <c r="M15" i="16"/>
  <c r="R2" i="15"/>
  <c r="Y7" i="17"/>
  <c r="F20" i="16"/>
  <c r="J29" i="16"/>
  <c r="I11" i="17"/>
  <c r="Y14" i="16"/>
  <c r="D19" i="17"/>
  <c r="P8" i="16"/>
  <c r="N5" i="17"/>
  <c r="I5" i="17"/>
  <c r="N6" i="16"/>
  <c r="T28" i="17"/>
  <c r="I25" i="17"/>
  <c r="R17" i="15"/>
  <c r="W18" i="12"/>
  <c r="P28" i="16"/>
  <c r="M19" i="17"/>
  <c r="L4" i="17"/>
  <c r="J6" i="17"/>
  <c r="E15" i="16"/>
  <c r="P28" i="15"/>
  <c r="U8" i="10"/>
  <c r="Y11" i="17"/>
  <c r="T25" i="15"/>
  <c r="N22" i="16"/>
  <c r="M20" i="15"/>
  <c r="D23" i="17"/>
  <c r="R26" i="17"/>
  <c r="E27" i="16"/>
  <c r="I10" i="16"/>
  <c r="J27" i="13"/>
  <c r="R5" i="17"/>
  <c r="D10" i="17"/>
  <c r="P30" i="17"/>
  <c r="E18" i="16"/>
  <c r="X23" i="15"/>
  <c r="M6" i="13"/>
  <c r="M12" i="16"/>
  <c r="X11" i="16"/>
  <c r="N10" i="17"/>
  <c r="O27" i="16"/>
  <c r="Y16" i="16"/>
  <c r="T29" i="16"/>
  <c r="E3" i="17"/>
  <c r="T31" i="17"/>
  <c r="K20" i="16"/>
  <c r="W14" i="13"/>
  <c r="J5" i="16"/>
  <c r="N20" i="17"/>
  <c r="X8" i="17"/>
  <c r="Q21" i="17"/>
  <c r="H22" i="16"/>
  <c r="U10" i="17"/>
  <c r="R30" i="17"/>
  <c r="W30" i="17"/>
  <c r="G5" i="16"/>
  <c r="H30" i="15"/>
  <c r="H20" i="16"/>
  <c r="W21" i="17"/>
  <c r="M7" i="17"/>
  <c r="P4" i="15"/>
  <c r="K3" i="13"/>
  <c r="Q15" i="15"/>
  <c r="L15" i="17"/>
  <c r="J2" i="16"/>
  <c r="P5" i="15"/>
  <c r="S20" i="16"/>
  <c r="D8" i="17"/>
  <c r="X7" i="16"/>
  <c r="O10" i="15"/>
  <c r="N25" i="13"/>
  <c r="S21" i="16"/>
  <c r="O8" i="17"/>
  <c r="K9" i="17"/>
  <c r="S23" i="17"/>
  <c r="T31" i="16"/>
  <c r="M20" i="16"/>
  <c r="T23" i="13"/>
  <c r="K20" i="17"/>
  <c r="S13" i="17"/>
  <c r="R13" i="16"/>
  <c r="W29" i="15"/>
  <c r="E5" i="10"/>
  <c r="N8" i="16"/>
  <c r="U3" i="15"/>
  <c r="V14" i="15"/>
  <c r="D30" i="16"/>
  <c r="E14" i="16"/>
  <c r="G23" i="16"/>
  <c r="O9" i="15"/>
  <c r="U31" i="15"/>
  <c r="H7" i="12"/>
  <c r="M7" i="9"/>
  <c r="O21" i="15"/>
  <c r="U23" i="13"/>
  <c r="H5" i="15"/>
  <c r="O28" i="12"/>
  <c r="X5" i="15"/>
  <c r="D14" i="17"/>
  <c r="G8" i="17"/>
  <c r="Q19" i="16"/>
  <c r="O29" i="17"/>
  <c r="X16" i="17"/>
  <c r="I26" i="17"/>
  <c r="W22" i="16"/>
  <c r="N6" i="17"/>
  <c r="R10" i="17"/>
  <c r="X11" i="17"/>
  <c r="V21" i="17"/>
  <c r="L15" i="16"/>
  <c r="D18" i="17"/>
  <c r="V26" i="17"/>
  <c r="S21" i="17"/>
  <c r="F25" i="17"/>
  <c r="K8" i="16"/>
  <c r="X7" i="15"/>
  <c r="U16" i="17"/>
  <c r="J22" i="17"/>
  <c r="F24" i="17"/>
  <c r="Q25" i="17"/>
  <c r="J25" i="17"/>
  <c r="R8" i="17"/>
  <c r="M15" i="17"/>
  <c r="N25" i="16"/>
  <c r="M19" i="15"/>
  <c r="Q10" i="17"/>
  <c r="S2" i="16"/>
  <c r="S25" i="16"/>
  <c r="J17" i="17"/>
  <c r="L31" i="16"/>
  <c r="N31" i="17"/>
  <c r="I11" i="16"/>
  <c r="G21" i="17"/>
  <c r="N11" i="16"/>
  <c r="P25" i="16"/>
  <c r="N16" i="17"/>
  <c r="F15" i="16"/>
  <c r="K17" i="15"/>
  <c r="O14" i="9"/>
  <c r="Q28" i="16"/>
  <c r="J9" i="16"/>
  <c r="S19" i="17"/>
  <c r="E15" i="17"/>
  <c r="D24" i="16"/>
  <c r="Q28" i="15"/>
  <c r="N15" i="13"/>
  <c r="I21" i="17"/>
  <c r="U25" i="15"/>
  <c r="Y22" i="16"/>
  <c r="P17" i="15"/>
  <c r="L10" i="16"/>
  <c r="X12" i="16"/>
  <c r="H28" i="15"/>
  <c r="U29" i="16"/>
  <c r="G7" i="17"/>
  <c r="M31" i="17"/>
  <c r="R16" i="15"/>
  <c r="X21" i="17"/>
  <c r="E10" i="17"/>
  <c r="U28" i="17"/>
  <c r="D10" i="15"/>
  <c r="M25" i="17"/>
  <c r="E25" i="17"/>
  <c r="J29" i="17"/>
  <c r="W17" i="16"/>
  <c r="H26" i="15"/>
  <c r="W9" i="17"/>
  <c r="V5" i="17"/>
  <c r="P3" i="16"/>
  <c r="V5" i="15"/>
  <c r="L18" i="17"/>
  <c r="V18" i="17"/>
  <c r="J13" i="17"/>
  <c r="D26" i="16"/>
  <c r="T18" i="15"/>
  <c r="J10" i="17"/>
  <c r="M2" i="17"/>
  <c r="N11" i="17"/>
  <c r="R5" i="16"/>
  <c r="L28" i="16"/>
  <c r="U22" i="17"/>
  <c r="P3" i="17"/>
  <c r="L5" i="17"/>
  <c r="L14" i="17"/>
  <c r="H25" i="16"/>
  <c r="O26" i="17"/>
  <c r="F15" i="17"/>
  <c r="U17" i="16"/>
  <c r="E17" i="15"/>
  <c r="O26" i="10"/>
  <c r="W11" i="16"/>
  <c r="D24" i="17"/>
  <c r="G16" i="16"/>
  <c r="O28" i="17"/>
  <c r="R29" i="17"/>
  <c r="S28" i="17"/>
  <c r="S17" i="15"/>
  <c r="M10" i="17"/>
  <c r="T2" i="17"/>
  <c r="N4" i="17"/>
  <c r="H7" i="17"/>
  <c r="R18" i="16"/>
  <c r="J14" i="15"/>
  <c r="U29" i="17"/>
  <c r="I9" i="16"/>
  <c r="E16" i="16"/>
  <c r="P12" i="17"/>
  <c r="M17" i="16"/>
  <c r="D15" i="16"/>
  <c r="L23" i="15"/>
  <c r="O9" i="13"/>
  <c r="I21" i="16"/>
  <c r="I17" i="15"/>
  <c r="F22" i="15"/>
  <c r="M6" i="16"/>
  <c r="G7" i="16"/>
  <c r="S9" i="16"/>
  <c r="T28" i="15"/>
  <c r="G8" i="15"/>
  <c r="Q10" i="13"/>
  <c r="R31" i="16"/>
  <c r="F28" i="17"/>
  <c r="P25" i="17"/>
  <c r="V25" i="16"/>
  <c r="Y16" i="13"/>
  <c r="D2" i="16"/>
  <c r="R14" i="17"/>
  <c r="X10" i="17"/>
  <c r="K18" i="17"/>
  <c r="M21" i="16"/>
  <c r="M6" i="17"/>
  <c r="T27" i="17"/>
  <c r="G22" i="17"/>
  <c r="L8" i="16"/>
  <c r="S23" i="15"/>
  <c r="H10" i="17"/>
  <c r="U15" i="16"/>
  <c r="W25" i="16"/>
  <c r="V27" i="17"/>
  <c r="D8" i="16"/>
  <c r="F8" i="16"/>
  <c r="L25" i="15"/>
  <c r="W2" i="17"/>
  <c r="X24" i="16"/>
  <c r="U30" i="15"/>
  <c r="Y12" i="17"/>
  <c r="U14" i="17"/>
  <c r="P9" i="17"/>
  <c r="X25" i="16"/>
  <c r="O29" i="15"/>
  <c r="K3" i="16"/>
  <c r="E14" i="17"/>
  <c r="Y4" i="16"/>
  <c r="H7" i="15"/>
  <c r="Q23" i="17"/>
  <c r="D16" i="17"/>
  <c r="S18" i="17"/>
  <c r="F11" i="15"/>
  <c r="F20" i="13"/>
  <c r="X25" i="17"/>
  <c r="Y8" i="17"/>
  <c r="O9" i="16"/>
  <c r="O13" i="17"/>
  <c r="F14" i="16"/>
  <c r="Q13" i="17"/>
  <c r="X13" i="17"/>
  <c r="W14" i="16"/>
  <c r="H24" i="17"/>
  <c r="N16" i="16"/>
  <c r="T17" i="15"/>
  <c r="X12" i="12"/>
  <c r="K14" i="17"/>
  <c r="M29" i="15"/>
  <c r="Q23" i="16"/>
  <c r="M27" i="15"/>
  <c r="O6" i="16"/>
  <c r="Q15" i="16"/>
  <c r="Q24" i="15"/>
  <c r="M22" i="15"/>
  <c r="F5" i="10"/>
  <c r="H31" i="12"/>
  <c r="J27" i="16"/>
  <c r="S29" i="13"/>
  <c r="H8" i="15"/>
  <c r="V21" i="13"/>
  <c r="P8" i="15"/>
  <c r="O5" i="15"/>
  <c r="O7" i="16"/>
  <c r="M10" i="16"/>
  <c r="P14" i="17"/>
  <c r="M18" i="17"/>
  <c r="N17" i="17"/>
  <c r="N17" i="15"/>
  <c r="H8" i="17"/>
  <c r="F16" i="17"/>
  <c r="I24" i="15"/>
  <c r="I29" i="16"/>
  <c r="T15" i="17"/>
  <c r="K22" i="16"/>
  <c r="D20" i="16"/>
  <c r="G25" i="16"/>
  <c r="O5" i="16"/>
  <c r="O30" i="17"/>
  <c r="I26" i="15"/>
  <c r="K23" i="15"/>
  <c r="H3" i="16"/>
  <c r="S28" i="15"/>
  <c r="R9" i="17"/>
  <c r="M28" i="17"/>
  <c r="R23" i="15"/>
  <c r="R2" i="16"/>
  <c r="R19" i="17"/>
  <c r="U9" i="16"/>
  <c r="P24" i="17"/>
  <c r="H24" i="15"/>
  <c r="K5" i="16"/>
  <c r="V17" i="17"/>
  <c r="P5" i="17"/>
  <c r="L26" i="17"/>
  <c r="P17" i="16"/>
  <c r="X6" i="16"/>
  <c r="S20" i="17"/>
  <c r="W15" i="17"/>
  <c r="J3" i="17"/>
  <c r="T31" i="15"/>
  <c r="S15" i="17"/>
  <c r="H10" i="15"/>
  <c r="T21" i="16"/>
  <c r="G2" i="17"/>
  <c r="O8" i="16"/>
  <c r="U8" i="13"/>
  <c r="M8" i="17"/>
  <c r="X29" i="15"/>
  <c r="F13" i="16"/>
  <c r="W18" i="15"/>
  <c r="M13" i="16"/>
  <c r="P9" i="15"/>
  <c r="D19" i="13"/>
  <c r="E15" i="15"/>
  <c r="U27" i="15"/>
  <c r="O28" i="15"/>
  <c r="N10" i="10"/>
  <c r="R7" i="13"/>
  <c r="N21" i="17"/>
  <c r="M18" i="16"/>
  <c r="E2" i="17"/>
  <c r="U31" i="16"/>
  <c r="Y2" i="15"/>
  <c r="J2" i="9"/>
  <c r="J19" i="16"/>
  <c r="E6" i="16"/>
  <c r="Q30" i="15"/>
  <c r="S13" i="16"/>
  <c r="H6" i="16"/>
  <c r="U5" i="15"/>
  <c r="D11" i="15"/>
  <c r="T3" i="9"/>
  <c r="N23" i="17"/>
  <c r="E5" i="16"/>
  <c r="U13" i="16"/>
  <c r="D25" i="15"/>
  <c r="J18" i="13"/>
  <c r="R7" i="16"/>
  <c r="K10" i="15"/>
  <c r="U29" i="15"/>
  <c r="N13" i="17"/>
  <c r="I23" i="17"/>
  <c r="T5" i="15"/>
  <c r="R15" i="15"/>
  <c r="G31" i="13"/>
  <c r="E13" i="13"/>
  <c r="G29" i="16"/>
  <c r="V30" i="16"/>
  <c r="U17" i="15"/>
  <c r="R29" i="10"/>
  <c r="J30" i="16"/>
  <c r="V20" i="17"/>
  <c r="X18" i="15"/>
  <c r="F30" i="16"/>
  <c r="H11" i="17"/>
  <c r="H2" i="15"/>
  <c r="Y25" i="15"/>
  <c r="H14" i="13"/>
  <c r="D27" i="16"/>
  <c r="O2" i="15"/>
  <c r="V2" i="15"/>
  <c r="M7" i="15"/>
  <c r="V16" i="17"/>
  <c r="J19" i="13"/>
  <c r="K15" i="9"/>
  <c r="O8" i="15"/>
  <c r="P23" i="13"/>
  <c r="D28" i="12"/>
  <c r="S22" i="15"/>
  <c r="N12" i="12"/>
  <c r="E13" i="9"/>
  <c r="Q5" i="12"/>
  <c r="T25" i="10"/>
  <c r="D5" i="10"/>
  <c r="C13" i="9"/>
  <c r="Q30" i="13"/>
  <c r="P11" i="13"/>
  <c r="J29" i="12"/>
  <c r="F29" i="13"/>
  <c r="S25" i="12"/>
  <c r="U23" i="9"/>
  <c r="F28" i="15"/>
  <c r="E26" i="12"/>
  <c r="J17" i="13"/>
  <c r="U17" i="9"/>
  <c r="S22" i="16"/>
  <c r="V28" i="17"/>
  <c r="P3" i="10"/>
  <c r="R25" i="15"/>
  <c r="N10" i="16"/>
  <c r="K26" i="15"/>
  <c r="Q11" i="6"/>
  <c r="D30" i="15"/>
  <c r="R18" i="13"/>
  <c r="U8" i="12"/>
  <c r="X16" i="13"/>
  <c r="W11" i="17"/>
  <c r="M16" i="15"/>
  <c r="L2" i="15"/>
  <c r="Q7" i="15"/>
  <c r="D17" i="16"/>
  <c r="G29" i="15"/>
  <c r="T14" i="13"/>
  <c r="Y21" i="13"/>
  <c r="R26" i="13"/>
  <c r="L12" i="16"/>
  <c r="R24" i="9"/>
  <c r="D25" i="16"/>
  <c r="L17" i="16"/>
  <c r="E21" i="13"/>
  <c r="H22" i="15"/>
  <c r="W20" i="15"/>
  <c r="G2" i="16"/>
  <c r="R29" i="15"/>
  <c r="P13" i="6"/>
  <c r="F21" i="16"/>
  <c r="X8" i="16"/>
  <c r="U4" i="16"/>
  <c r="X17" i="13"/>
  <c r="O6" i="15"/>
  <c r="L7" i="15"/>
  <c r="E20" i="16"/>
  <c r="E6" i="13"/>
  <c r="N13" i="12"/>
  <c r="U13" i="17"/>
  <c r="L16" i="16"/>
  <c r="G2" i="13"/>
  <c r="M17" i="17"/>
  <c r="T10" i="16"/>
  <c r="L11" i="16"/>
  <c r="Y27" i="9"/>
  <c r="Q10" i="16"/>
  <c r="T18" i="16"/>
  <c r="K11" i="16"/>
  <c r="R16" i="12"/>
  <c r="O14" i="15"/>
  <c r="D10" i="16"/>
  <c r="D17" i="15"/>
  <c r="X26" i="13"/>
  <c r="Q15" i="12"/>
  <c r="L12" i="13"/>
  <c r="N18" i="12"/>
  <c r="H24" i="13"/>
  <c r="U2" i="16"/>
  <c r="K26" i="12"/>
  <c r="L23" i="13"/>
  <c r="S20" i="15"/>
  <c r="N27" i="13"/>
  <c r="R30" i="12"/>
  <c r="L11" i="10"/>
  <c r="V25" i="10"/>
  <c r="J19" i="6"/>
  <c r="P11" i="15"/>
  <c r="Q12" i="9"/>
  <c r="R10" i="9"/>
  <c r="Q8" i="10"/>
  <c r="U16" i="10"/>
  <c r="E13" i="10"/>
  <c r="Y2" i="9"/>
  <c r="Q14" i="12"/>
  <c r="W25" i="13"/>
  <c r="X19" i="15"/>
  <c r="U14" i="13"/>
  <c r="N31" i="10"/>
  <c r="S6" i="6"/>
  <c r="E29" i="6"/>
  <c r="N23" i="12"/>
  <c r="L7" i="9"/>
  <c r="Q2" i="9"/>
  <c r="K31" i="13"/>
  <c r="X5" i="9"/>
  <c r="P15" i="6"/>
  <c r="C21" i="13"/>
  <c r="C14" i="17"/>
  <c r="O22" i="10"/>
  <c r="D11" i="6"/>
  <c r="L22" i="6"/>
  <c r="C16" i="6"/>
  <c r="N20" i="9"/>
  <c r="P5" i="6"/>
  <c r="S17" i="6"/>
  <c r="T26" i="10"/>
  <c r="J4" i="6"/>
  <c r="M12" i="10"/>
  <c r="V27" i="9"/>
  <c r="K18" i="9"/>
  <c r="P10" i="10"/>
  <c r="X14" i="10"/>
  <c r="V24" i="6"/>
  <c r="N25" i="10"/>
  <c r="E31" i="10"/>
  <c r="F25" i="10"/>
  <c r="G29" i="9"/>
  <c r="Y26" i="15"/>
  <c r="U30" i="6"/>
  <c r="T13" i="10"/>
  <c r="Q12" i="15"/>
  <c r="F6" i="12"/>
  <c r="K23" i="13"/>
  <c r="W19" i="12"/>
  <c r="Y28" i="10"/>
  <c r="N10" i="12"/>
  <c r="V29" i="10"/>
  <c r="V15" i="10"/>
  <c r="J4" i="9"/>
  <c r="U23" i="10"/>
  <c r="E23" i="12"/>
  <c r="M21" i="12"/>
  <c r="V16" i="9"/>
  <c r="F27" i="13"/>
  <c r="G25" i="13"/>
  <c r="O20" i="13"/>
  <c r="Q5" i="15"/>
  <c r="T15" i="9"/>
  <c r="F19" i="6"/>
  <c r="F27" i="10"/>
  <c r="U9" i="15"/>
  <c r="G3" i="15"/>
  <c r="P8" i="17"/>
  <c r="J16" i="17"/>
  <c r="E12" i="17"/>
  <c r="R21" i="17"/>
  <c r="Q24" i="17"/>
  <c r="H18" i="17"/>
  <c r="R20" i="15"/>
  <c r="V15" i="17"/>
  <c r="F25" i="16"/>
  <c r="S24" i="16"/>
  <c r="K29" i="15"/>
  <c r="K20" i="15"/>
  <c r="J26" i="16"/>
  <c r="V27" i="16"/>
  <c r="U5" i="13"/>
  <c r="N20" i="15"/>
  <c r="V13" i="17"/>
  <c r="G15" i="15"/>
  <c r="P18" i="17"/>
  <c r="X29" i="17"/>
  <c r="U20" i="15"/>
  <c r="O12" i="16"/>
  <c r="P20" i="17"/>
  <c r="V19" i="17"/>
  <c r="L25" i="17"/>
  <c r="O27" i="15"/>
  <c r="D5" i="16"/>
  <c r="T18" i="17"/>
  <c r="Q27" i="17"/>
  <c r="Y3" i="17"/>
  <c r="O26" i="16"/>
  <c r="Q13" i="16"/>
  <c r="N31" i="16"/>
  <c r="E22" i="17"/>
  <c r="Q26" i="17"/>
  <c r="G28" i="15"/>
  <c r="J18" i="17"/>
  <c r="N8" i="15"/>
  <c r="N5" i="16"/>
  <c r="G5" i="17"/>
  <c r="E25" i="16"/>
  <c r="R23" i="17"/>
  <c r="G28" i="17"/>
  <c r="Y29" i="15"/>
  <c r="R13" i="15"/>
  <c r="P26" i="15"/>
  <c r="S4" i="17"/>
  <c r="Q9" i="15"/>
  <c r="T18" i="12"/>
  <c r="V28" i="13"/>
  <c r="E31" i="13"/>
  <c r="P26" i="16"/>
  <c r="M29" i="13"/>
  <c r="Q16" i="13"/>
  <c r="Y21" i="17"/>
  <c r="H2" i="16"/>
  <c r="E24" i="17"/>
  <c r="I20" i="17"/>
  <c r="L3" i="15"/>
  <c r="E14" i="10"/>
  <c r="S21" i="15"/>
  <c r="U5" i="16"/>
  <c r="R30" i="15"/>
  <c r="E13" i="16"/>
  <c r="S7" i="17"/>
  <c r="V9" i="15"/>
  <c r="Y27" i="13"/>
  <c r="I16" i="16"/>
  <c r="M4" i="17"/>
  <c r="D3" i="16"/>
  <c r="H5" i="16"/>
  <c r="P2" i="15"/>
  <c r="I17" i="10"/>
  <c r="X29" i="16"/>
  <c r="M23" i="17"/>
  <c r="E4" i="15"/>
  <c r="S30" i="17"/>
  <c r="K29" i="16"/>
  <c r="M9" i="15"/>
  <c r="X17" i="15"/>
  <c r="S5" i="9"/>
  <c r="E19" i="17"/>
  <c r="Q29" i="16"/>
  <c r="K31" i="16"/>
  <c r="V21" i="15"/>
  <c r="O29" i="10"/>
  <c r="V9" i="16"/>
  <c r="H16" i="16"/>
  <c r="F24" i="15"/>
  <c r="K5" i="17"/>
  <c r="O20" i="17"/>
  <c r="W5" i="15"/>
  <c r="E20" i="12"/>
  <c r="Q26" i="16"/>
  <c r="H15" i="17"/>
  <c r="Y9" i="15"/>
  <c r="X10" i="15"/>
  <c r="W13" i="17"/>
  <c r="D13" i="16"/>
  <c r="L19" i="10"/>
  <c r="H23" i="9"/>
  <c r="G28" i="13"/>
  <c r="I8" i="15"/>
  <c r="J22" i="13"/>
  <c r="D12" i="16"/>
  <c r="D9" i="10"/>
  <c r="I2" i="12"/>
  <c r="T27" i="13"/>
  <c r="R18" i="9"/>
  <c r="C10" i="12"/>
  <c r="X2" i="15"/>
  <c r="M26" i="15"/>
  <c r="G9" i="17"/>
  <c r="G10" i="17"/>
  <c r="X9" i="17"/>
  <c r="S2" i="17"/>
  <c r="K8" i="17"/>
  <c r="S11" i="17"/>
  <c r="F10" i="13"/>
  <c r="N14" i="17"/>
  <c r="T13" i="15"/>
  <c r="I4" i="17"/>
  <c r="R11" i="15"/>
  <c r="D20" i="15"/>
  <c r="Y8" i="16"/>
  <c r="R20" i="16"/>
  <c r="H22" i="10"/>
  <c r="W16" i="16"/>
  <c r="O24" i="17"/>
  <c r="I15" i="15"/>
  <c r="W16" i="17"/>
  <c r="J20" i="17"/>
  <c r="H17" i="15"/>
  <c r="O31" i="17"/>
  <c r="N18" i="17"/>
  <c r="T8" i="17"/>
  <c r="E16" i="17"/>
  <c r="H27" i="15"/>
  <c r="S15" i="16"/>
  <c r="D17" i="17"/>
  <c r="O23" i="16"/>
  <c r="O17" i="17"/>
  <c r="F17" i="16"/>
  <c r="V15" i="15"/>
  <c r="O31" i="16"/>
  <c r="F4" i="17"/>
  <c r="M11" i="17"/>
  <c r="Q26" i="13"/>
  <c r="O23" i="17"/>
  <c r="W4" i="15"/>
  <c r="U28" i="16"/>
  <c r="W19" i="17"/>
  <c r="W18" i="16"/>
  <c r="K22" i="17"/>
  <c r="G11" i="16"/>
  <c r="S10" i="13"/>
  <c r="E18" i="15"/>
  <c r="K27" i="15"/>
  <c r="S26" i="17"/>
  <c r="E14" i="13"/>
  <c r="D21" i="6"/>
  <c r="X7" i="13"/>
  <c r="R31" i="13"/>
  <c r="Y4" i="15"/>
  <c r="Q31" i="13"/>
  <c r="K9" i="13"/>
  <c r="Y23" i="16"/>
  <c r="L19" i="16"/>
  <c r="K4" i="17"/>
  <c r="P20" i="16"/>
  <c r="M3" i="15"/>
  <c r="W15" i="9"/>
  <c r="L29" i="15"/>
  <c r="L3" i="16"/>
  <c r="S30" i="15"/>
  <c r="H31" i="17"/>
  <c r="U25" i="17"/>
  <c r="U12" i="15"/>
  <c r="E23" i="13"/>
  <c r="O25" i="17"/>
  <c r="S16" i="17"/>
  <c r="K17" i="17"/>
  <c r="O22" i="16"/>
  <c r="Q6" i="15"/>
  <c r="H12" i="13"/>
  <c r="J21" i="15"/>
  <c r="Q12" i="16"/>
  <c r="F4" i="15"/>
  <c r="I20" i="16"/>
  <c r="H5" i="17"/>
  <c r="V13" i="15"/>
  <c r="J4" i="13"/>
  <c r="P28" i="9"/>
  <c r="Q8" i="16"/>
  <c r="H16" i="17"/>
  <c r="W24" i="16"/>
  <c r="Y22" i="15"/>
  <c r="G12" i="13"/>
  <c r="R9" i="15"/>
  <c r="W29" i="16"/>
  <c r="G24" i="15"/>
  <c r="K10" i="17"/>
  <c r="Q16" i="16"/>
  <c r="J6" i="15"/>
  <c r="Q18" i="13"/>
  <c r="O11" i="16"/>
  <c r="T23" i="17"/>
  <c r="F5" i="12"/>
  <c r="P13" i="15"/>
  <c r="M26" i="16"/>
  <c r="O20" i="16"/>
  <c r="N6" i="12"/>
  <c r="L9" i="10"/>
  <c r="O7" i="13"/>
  <c r="K16" i="15"/>
  <c r="F3" i="13"/>
  <c r="W19" i="15"/>
  <c r="H14" i="12"/>
  <c r="P24" i="12"/>
  <c r="P21" i="13"/>
  <c r="J14" i="6"/>
  <c r="O23" i="9"/>
  <c r="T14" i="17"/>
  <c r="M29" i="17"/>
  <c r="U19" i="17"/>
  <c r="N9" i="17"/>
  <c r="W22" i="17"/>
  <c r="F3" i="17"/>
  <c r="V31" i="16"/>
  <c r="W4" i="17"/>
  <c r="Y9" i="12"/>
  <c r="F22" i="16"/>
  <c r="G30" i="15"/>
  <c r="R20" i="17"/>
  <c r="J12" i="17"/>
  <c r="W17" i="15"/>
  <c r="R8" i="16"/>
  <c r="P26" i="17"/>
  <c r="M20" i="12"/>
  <c r="N21" i="16"/>
  <c r="Q6" i="16"/>
  <c r="I14" i="15"/>
  <c r="L9" i="16"/>
  <c r="M20" i="17"/>
  <c r="Q13" i="15"/>
  <c r="F17" i="17"/>
  <c r="F12" i="17"/>
  <c r="D26" i="17"/>
  <c r="T3" i="17"/>
  <c r="W26" i="15"/>
  <c r="J6" i="16"/>
  <c r="H26" i="17"/>
  <c r="K16" i="16"/>
  <c r="H28" i="17"/>
  <c r="F31" i="15"/>
  <c r="W6" i="15"/>
  <c r="H31" i="16"/>
  <c r="F23" i="16"/>
  <c r="X4" i="16"/>
  <c r="F6" i="17"/>
  <c r="J2" i="17"/>
  <c r="E31" i="15"/>
  <c r="R26" i="16"/>
  <c r="W10" i="17"/>
  <c r="L17" i="17"/>
  <c r="G15" i="16"/>
  <c r="Y3" i="16"/>
  <c r="P19" i="13"/>
  <c r="T21" i="15"/>
  <c r="L27" i="15"/>
  <c r="W15" i="16"/>
  <c r="H18" i="16"/>
  <c r="J18" i="6"/>
  <c r="M9" i="9"/>
  <c r="I21" i="12"/>
  <c r="M5" i="15"/>
  <c r="N10" i="9"/>
  <c r="L14" i="16"/>
  <c r="J17" i="16"/>
  <c r="O2" i="17"/>
  <c r="G26" i="16"/>
  <c r="M5" i="17"/>
  <c r="H31" i="15"/>
  <c r="E6" i="17"/>
  <c r="J31" i="17"/>
  <c r="V27" i="15"/>
  <c r="N15" i="16"/>
  <c r="N22" i="17"/>
  <c r="D19" i="16"/>
  <c r="L29" i="17"/>
  <c r="O14" i="16"/>
  <c r="J28" i="16"/>
  <c r="F13" i="17"/>
  <c r="N29" i="15"/>
  <c r="V25" i="15"/>
  <c r="U23" i="17"/>
  <c r="R28" i="15"/>
  <c r="N28" i="12"/>
  <c r="R31" i="17"/>
  <c r="W28" i="16"/>
  <c r="G12" i="17"/>
  <c r="E23" i="16"/>
  <c r="K18" i="16"/>
  <c r="F9" i="17"/>
  <c r="R24" i="16"/>
  <c r="W23" i="17"/>
  <c r="I15" i="16"/>
  <c r="P27" i="16"/>
  <c r="S10" i="16"/>
  <c r="K16" i="17"/>
  <c r="L2" i="12"/>
  <c r="O5" i="17"/>
  <c r="K3" i="15"/>
  <c r="I31" i="17"/>
  <c r="O7" i="15"/>
  <c r="O9" i="17"/>
  <c r="D28" i="16"/>
  <c r="O21" i="17"/>
  <c r="X31" i="16"/>
  <c r="S17" i="16"/>
  <c r="Y28" i="17"/>
  <c r="P14" i="16"/>
  <c r="K13" i="15"/>
  <c r="Q20" i="17"/>
  <c r="P21" i="16"/>
  <c r="U6" i="16"/>
  <c r="H20" i="15"/>
  <c r="Y25" i="12"/>
  <c r="E24" i="16"/>
  <c r="N12" i="16"/>
  <c r="F16" i="16"/>
  <c r="L13" i="9"/>
  <c r="Q15" i="13"/>
  <c r="L27" i="17"/>
  <c r="Y25" i="17"/>
  <c r="M29" i="16"/>
  <c r="V24" i="16"/>
  <c r="M25" i="15"/>
  <c r="V7" i="12"/>
  <c r="X17" i="16"/>
  <c r="F27" i="17"/>
  <c r="P30" i="15"/>
  <c r="G24" i="17"/>
  <c r="U22" i="16"/>
  <c r="W31" i="15"/>
  <c r="D8" i="15"/>
  <c r="I3" i="13"/>
  <c r="H19" i="12"/>
  <c r="S5" i="16"/>
  <c r="Y20" i="16"/>
  <c r="K21" i="15"/>
  <c r="J23" i="13"/>
  <c r="W23" i="16"/>
  <c r="J10" i="15"/>
  <c r="M18" i="15"/>
  <c r="J3" i="16"/>
  <c r="K7" i="17"/>
  <c r="V31" i="15"/>
  <c r="P7" i="15"/>
  <c r="U17" i="12"/>
  <c r="I30" i="13"/>
  <c r="F19" i="16"/>
  <c r="W7" i="16"/>
  <c r="L13" i="15"/>
  <c r="G14" i="13"/>
  <c r="Q3" i="16"/>
  <c r="J30" i="15"/>
  <c r="W14" i="15"/>
  <c r="Y9" i="17"/>
  <c r="E9" i="16"/>
  <c r="R24" i="15"/>
  <c r="S27" i="15"/>
  <c r="R31" i="12"/>
  <c r="U18" i="16"/>
  <c r="P20" i="15"/>
  <c r="S7" i="16"/>
  <c r="K7" i="15"/>
  <c r="R12" i="16"/>
  <c r="X22" i="15"/>
  <c r="L22" i="10"/>
  <c r="E8" i="15"/>
  <c r="I12" i="10"/>
  <c r="L9" i="13"/>
  <c r="I22" i="15"/>
  <c r="R19" i="13"/>
  <c r="X17" i="12"/>
  <c r="I8" i="10"/>
  <c r="S28" i="12"/>
  <c r="V30" i="9"/>
  <c r="X20" i="17"/>
  <c r="G9" i="16"/>
  <c r="V22" i="17"/>
  <c r="Q22" i="16"/>
  <c r="T24" i="17"/>
  <c r="X3" i="17"/>
  <c r="K14" i="15"/>
  <c r="W6" i="17"/>
  <c r="Y26" i="17"/>
  <c r="N22" i="15"/>
  <c r="K26" i="17"/>
  <c r="O2" i="16"/>
  <c r="S9" i="17"/>
  <c r="G12" i="16"/>
  <c r="S18" i="16"/>
  <c r="Y15" i="17"/>
  <c r="K7" i="16"/>
  <c r="D29" i="16"/>
  <c r="V20" i="13"/>
  <c r="U2" i="13"/>
  <c r="W24" i="15"/>
  <c r="N7" i="17"/>
  <c r="I7" i="16"/>
  <c r="G13" i="13"/>
  <c r="E7" i="15"/>
  <c r="V30" i="17"/>
  <c r="V23" i="15"/>
  <c r="V25" i="12"/>
  <c r="D4" i="17"/>
  <c r="X16" i="15"/>
  <c r="Q15" i="17"/>
  <c r="D14" i="15"/>
  <c r="M4" i="16"/>
  <c r="T24" i="16"/>
  <c r="Y14" i="15"/>
  <c r="I2" i="17"/>
  <c r="K15" i="12"/>
  <c r="I30" i="15"/>
  <c r="Y4" i="17"/>
  <c r="I20" i="15"/>
  <c r="E17" i="13"/>
  <c r="H17" i="16"/>
  <c r="D18" i="15"/>
  <c r="T6" i="15"/>
  <c r="V30" i="15"/>
  <c r="K27" i="13"/>
  <c r="D15" i="13"/>
  <c r="W17" i="10"/>
  <c r="F2" i="12"/>
  <c r="Q19" i="15"/>
  <c r="V16" i="12"/>
  <c r="T20" i="10"/>
  <c r="Y27" i="16"/>
  <c r="F15" i="13"/>
  <c r="L20" i="10"/>
  <c r="R11" i="13"/>
  <c r="N22" i="12"/>
  <c r="I5" i="15"/>
  <c r="Q19" i="9"/>
  <c r="P7" i="16"/>
  <c r="Q7" i="12"/>
  <c r="I3" i="15"/>
  <c r="H19" i="16"/>
  <c r="S23" i="13"/>
  <c r="F9" i="6"/>
  <c r="N6" i="13"/>
  <c r="M28" i="15"/>
  <c r="W10" i="16"/>
  <c r="G30" i="17"/>
  <c r="F11" i="13"/>
  <c r="T23" i="15"/>
  <c r="T9" i="16"/>
  <c r="N29" i="16"/>
  <c r="Q18" i="10"/>
  <c r="T30" i="10"/>
  <c r="Y23" i="13"/>
  <c r="Q31" i="15"/>
  <c r="D9" i="17"/>
  <c r="E9" i="17"/>
  <c r="G14" i="15"/>
  <c r="D6" i="15"/>
  <c r="G17" i="15"/>
  <c r="I13" i="17"/>
  <c r="I25" i="13"/>
  <c r="U28" i="10"/>
  <c r="H21" i="17"/>
  <c r="E8" i="17"/>
  <c r="X9" i="15"/>
  <c r="X28" i="15"/>
  <c r="F25" i="13"/>
  <c r="L9" i="15"/>
  <c r="Q7" i="13"/>
  <c r="P7" i="17"/>
  <c r="E8" i="16"/>
  <c r="F28" i="12"/>
  <c r="O20" i="15"/>
  <c r="N19" i="16"/>
  <c r="D31" i="15"/>
  <c r="M12" i="9"/>
  <c r="J18" i="15"/>
  <c r="Y6" i="17"/>
  <c r="N16" i="15"/>
  <c r="M6" i="15"/>
  <c r="X16" i="16"/>
  <c r="P29" i="15"/>
  <c r="E19" i="10"/>
  <c r="N7" i="15"/>
  <c r="R4" i="13"/>
  <c r="R2" i="13"/>
  <c r="V20" i="15"/>
  <c r="V23" i="13"/>
  <c r="X26" i="16"/>
  <c r="G3" i="13"/>
  <c r="S17" i="13"/>
  <c r="Y13" i="10"/>
  <c r="G12" i="10"/>
  <c r="C31" i="6"/>
  <c r="W28" i="15"/>
  <c r="O30" i="10"/>
  <c r="H17" i="10"/>
  <c r="K4" i="15"/>
  <c r="V30" i="12"/>
  <c r="P22" i="9"/>
  <c r="Q27" i="12"/>
  <c r="E11" i="16"/>
  <c r="M11" i="13"/>
  <c r="S22" i="12"/>
  <c r="O4" i="9"/>
  <c r="K21" i="17"/>
  <c r="J10" i="16"/>
  <c r="Y31" i="17"/>
  <c r="X24" i="17"/>
  <c r="D27" i="17"/>
  <c r="E10" i="16"/>
  <c r="S25" i="13"/>
  <c r="L7" i="17"/>
  <c r="Y11" i="16"/>
  <c r="R13" i="17"/>
  <c r="O15" i="16"/>
  <c r="L30" i="17"/>
  <c r="G6" i="17"/>
  <c r="K24" i="16"/>
  <c r="X7" i="12"/>
  <c r="J21" i="16"/>
  <c r="I31" i="16"/>
  <c r="G6" i="16"/>
  <c r="K8" i="13"/>
  <c r="S19" i="10"/>
  <c r="X4" i="12"/>
  <c r="Q31" i="17"/>
  <c r="W13" i="16"/>
  <c r="F18" i="17"/>
  <c r="R15" i="16"/>
  <c r="E31" i="17"/>
  <c r="W12" i="15"/>
  <c r="E20" i="17"/>
  <c r="K11" i="17"/>
  <c r="R6" i="15"/>
  <c r="Y28" i="15"/>
  <c r="G4" i="15"/>
  <c r="T6" i="16"/>
  <c r="I23" i="12"/>
  <c r="Q11" i="16"/>
  <c r="F7" i="16"/>
  <c r="W2" i="10"/>
  <c r="Y29" i="16"/>
  <c r="T30" i="16"/>
  <c r="K6" i="15"/>
  <c r="N8" i="17"/>
  <c r="W27" i="13"/>
  <c r="Q30" i="17"/>
  <c r="S21" i="10"/>
  <c r="U10" i="12"/>
  <c r="J26" i="10"/>
  <c r="M30" i="13"/>
  <c r="K20" i="10"/>
  <c r="I7" i="10"/>
  <c r="U22" i="13"/>
  <c r="K2" i="10"/>
  <c r="Q10" i="9"/>
  <c r="L12" i="15"/>
  <c r="V20" i="9"/>
  <c r="V10" i="10"/>
  <c r="F13" i="12"/>
  <c r="Y30" i="16"/>
  <c r="F7" i="13"/>
  <c r="J14" i="17"/>
  <c r="R30" i="16"/>
  <c r="I14" i="16"/>
  <c r="Q10" i="15"/>
  <c r="N28" i="17"/>
  <c r="H10" i="12"/>
  <c r="S31" i="13"/>
  <c r="Q31" i="12"/>
  <c r="Y31" i="13"/>
  <c r="F20" i="17"/>
  <c r="V10" i="16"/>
  <c r="K12" i="13"/>
  <c r="Y22" i="17"/>
  <c r="L11" i="17"/>
  <c r="Y12" i="15"/>
  <c r="X10" i="12"/>
  <c r="K10" i="13"/>
  <c r="Y29" i="10"/>
  <c r="F12" i="15"/>
  <c r="T8" i="15"/>
  <c r="G27" i="17"/>
  <c r="S19" i="15"/>
  <c r="N14" i="15"/>
  <c r="R22" i="17"/>
  <c r="M9" i="16"/>
  <c r="Q4" i="13"/>
  <c r="O18" i="12"/>
  <c r="E14" i="15"/>
  <c r="P31" i="17"/>
  <c r="W19" i="13"/>
  <c r="O13" i="15"/>
  <c r="U17" i="17"/>
  <c r="V17" i="15"/>
  <c r="J10" i="9"/>
  <c r="H12" i="16"/>
  <c r="S28" i="16"/>
  <c r="F14" i="13"/>
  <c r="Y2" i="16"/>
  <c r="V19" i="16"/>
  <c r="D5" i="13"/>
  <c r="S8" i="13"/>
  <c r="U13" i="15"/>
  <c r="K12" i="17"/>
  <c r="P6" i="13"/>
  <c r="E20" i="15"/>
  <c r="R17" i="16"/>
  <c r="U3" i="16"/>
  <c r="U8" i="9"/>
  <c r="P15" i="15"/>
  <c r="J25" i="9"/>
  <c r="V10" i="13"/>
  <c r="I17" i="16"/>
  <c r="T30" i="15"/>
  <c r="W23" i="15"/>
  <c r="R23" i="12"/>
  <c r="M28" i="12"/>
  <c r="K11" i="12"/>
  <c r="V16" i="6"/>
  <c r="L13" i="12"/>
  <c r="E2" i="12"/>
  <c r="Y23" i="10"/>
  <c r="O9" i="10"/>
  <c r="Q28" i="13"/>
  <c r="L15" i="10"/>
  <c r="O2" i="10"/>
  <c r="G13" i="9"/>
  <c r="R19" i="15"/>
  <c r="H26" i="12"/>
  <c r="X18" i="12"/>
  <c r="I24" i="12"/>
  <c r="N4" i="13"/>
  <c r="M25" i="9"/>
  <c r="P17" i="6"/>
  <c r="U7" i="6"/>
  <c r="G12" i="6"/>
  <c r="U26" i="12"/>
  <c r="T4" i="9"/>
  <c r="E14" i="12"/>
  <c r="Q31" i="10"/>
  <c r="H31" i="10"/>
  <c r="E19" i="6"/>
  <c r="O19" i="9"/>
  <c r="C25" i="13"/>
  <c r="N20" i="13"/>
  <c r="S27" i="6"/>
  <c r="R2" i="6"/>
  <c r="N19" i="13"/>
  <c r="Y26" i="10"/>
  <c r="N2" i="10"/>
  <c r="W5" i="9"/>
  <c r="W17" i="9"/>
  <c r="W3" i="9"/>
  <c r="P6" i="10"/>
  <c r="S8" i="9"/>
  <c r="G19" i="9"/>
  <c r="I24" i="9"/>
  <c r="R18" i="15"/>
  <c r="T24" i="15"/>
  <c r="S30" i="13"/>
  <c r="G11" i="12"/>
  <c r="P4" i="6"/>
  <c r="X25" i="6"/>
  <c r="C24" i="10"/>
  <c r="F15" i="9"/>
  <c r="W16" i="12"/>
  <c r="K17" i="10"/>
  <c r="T6" i="13"/>
  <c r="O20" i="12"/>
  <c r="E24" i="12"/>
  <c r="H18" i="13"/>
  <c r="V2" i="10"/>
  <c r="T26" i="9"/>
  <c r="H20" i="17"/>
  <c r="T2" i="16"/>
  <c r="M19" i="16"/>
  <c r="Q24" i="16"/>
  <c r="L20" i="17"/>
  <c r="U14" i="16"/>
  <c r="I3" i="16"/>
  <c r="T20" i="17"/>
  <c r="L10" i="17"/>
  <c r="K19" i="16"/>
  <c r="E13" i="17"/>
  <c r="P15" i="16"/>
  <c r="Y27" i="17"/>
  <c r="I4" i="15"/>
  <c r="V7" i="15"/>
  <c r="N15" i="17"/>
  <c r="K14" i="16"/>
  <c r="J9" i="15"/>
  <c r="J4" i="17"/>
  <c r="X25" i="10"/>
  <c r="G10" i="13"/>
  <c r="L20" i="9"/>
  <c r="G4" i="17"/>
  <c r="J13" i="15"/>
  <c r="U27" i="17"/>
  <c r="L10" i="15"/>
  <c r="Q20" i="16"/>
  <c r="D13" i="13"/>
  <c r="V11" i="16"/>
  <c r="P6" i="17"/>
  <c r="W10" i="13"/>
  <c r="W2" i="15"/>
  <c r="H16" i="13"/>
  <c r="F6" i="16"/>
  <c r="Q24" i="13"/>
  <c r="P9" i="16"/>
  <c r="J7" i="16"/>
  <c r="N19" i="17"/>
  <c r="T2" i="15"/>
  <c r="W6" i="16"/>
  <c r="T30" i="13"/>
  <c r="P11" i="16"/>
  <c r="Y18" i="12"/>
  <c r="U26" i="16"/>
  <c r="K19" i="9"/>
  <c r="T14" i="10"/>
  <c r="K11" i="13"/>
  <c r="E6" i="12"/>
  <c r="I6" i="9"/>
  <c r="G9" i="9"/>
  <c r="H9" i="13"/>
  <c r="T12" i="10"/>
  <c r="X26" i="6"/>
  <c r="X22" i="12"/>
  <c r="K8" i="10"/>
  <c r="Y13" i="6"/>
  <c r="V10" i="9"/>
  <c r="Q11" i="15"/>
  <c r="Y11" i="12"/>
  <c r="V14" i="16"/>
  <c r="V28" i="16"/>
  <c r="V21" i="16"/>
  <c r="E11" i="15"/>
  <c r="P19" i="16"/>
  <c r="H25" i="10"/>
  <c r="E20" i="13"/>
  <c r="S9" i="12"/>
  <c r="P29" i="13"/>
  <c r="N18" i="16"/>
  <c r="I5" i="16"/>
  <c r="U30" i="12"/>
  <c r="N2" i="16"/>
  <c r="R16" i="16"/>
  <c r="E21" i="15"/>
  <c r="M8" i="9"/>
  <c r="S30" i="16"/>
  <c r="W5" i="12"/>
  <c r="K5" i="13"/>
  <c r="Q18" i="16"/>
  <c r="P4" i="17"/>
  <c r="M23" i="15"/>
  <c r="D27" i="15"/>
  <c r="J16" i="16"/>
  <c r="V29" i="16"/>
  <c r="F24" i="10"/>
  <c r="U22" i="9"/>
  <c r="J21" i="13"/>
  <c r="F11" i="16"/>
  <c r="M23" i="13"/>
  <c r="Y13" i="15"/>
  <c r="S3" i="16"/>
  <c r="L19" i="15"/>
  <c r="I29" i="10"/>
  <c r="I22" i="16"/>
  <c r="V6" i="16"/>
  <c r="X5" i="17"/>
  <c r="R19" i="16"/>
  <c r="Y26" i="16"/>
  <c r="U16" i="13"/>
  <c r="D8" i="12"/>
  <c r="Y24" i="13"/>
  <c r="D18" i="16"/>
  <c r="J15" i="12"/>
  <c r="F3" i="16"/>
  <c r="L26" i="16"/>
  <c r="F30" i="15"/>
  <c r="O21" i="12"/>
  <c r="D24" i="15"/>
  <c r="I14" i="13"/>
  <c r="U3" i="13"/>
  <c r="J9" i="10"/>
  <c r="K15" i="15"/>
  <c r="F17" i="15"/>
  <c r="X21" i="13"/>
  <c r="N6" i="9"/>
  <c r="K18" i="13"/>
  <c r="O23" i="6"/>
  <c r="Q7" i="6"/>
  <c r="F28" i="6"/>
  <c r="D30" i="9"/>
  <c r="K6" i="13"/>
  <c r="X11" i="10"/>
  <c r="K13" i="17"/>
  <c r="O16" i="16"/>
  <c r="O3" i="17"/>
  <c r="L21" i="16"/>
  <c r="O7" i="17"/>
  <c r="V11" i="13"/>
  <c r="E29" i="15"/>
  <c r="E27" i="17"/>
  <c r="T17" i="16"/>
  <c r="R14" i="16"/>
  <c r="R21" i="16"/>
  <c r="V7" i="16"/>
  <c r="M3" i="17"/>
  <c r="X3" i="15"/>
  <c r="Y8" i="15"/>
  <c r="D21" i="17"/>
  <c r="I3" i="17"/>
  <c r="T13" i="12"/>
  <c r="Q17" i="17"/>
  <c r="M22" i="13"/>
  <c r="X2" i="12"/>
  <c r="P22" i="17"/>
  <c r="T12" i="16"/>
  <c r="U11" i="17"/>
  <c r="T13" i="13"/>
  <c r="M22" i="17"/>
  <c r="M10" i="9"/>
  <c r="W3" i="16"/>
  <c r="I28" i="15"/>
  <c r="M28" i="16"/>
  <c r="J24" i="16"/>
  <c r="K21" i="16"/>
  <c r="I4" i="16"/>
  <c r="D23" i="15"/>
  <c r="Q3" i="15"/>
  <c r="O18" i="15"/>
  <c r="O22" i="17"/>
  <c r="P13" i="17"/>
  <c r="R17" i="13"/>
  <c r="P6" i="16"/>
  <c r="Y6" i="12"/>
  <c r="G20" i="13"/>
  <c r="H3" i="17"/>
  <c r="L19" i="17"/>
  <c r="X4" i="17"/>
  <c r="G18" i="17"/>
  <c r="J23" i="17"/>
  <c r="T30" i="17"/>
  <c r="H27" i="16"/>
  <c r="R12" i="9"/>
  <c r="F24" i="16"/>
  <c r="T4" i="16"/>
  <c r="E11" i="9"/>
  <c r="G31" i="16"/>
  <c r="K22" i="15"/>
  <c r="S29" i="17"/>
  <c r="T9" i="17"/>
  <c r="M2" i="16"/>
  <c r="L22" i="16"/>
  <c r="M22" i="12"/>
  <c r="F28" i="16"/>
  <c r="W2" i="12"/>
  <c r="T29" i="13"/>
  <c r="N26" i="17"/>
  <c r="W8" i="17"/>
  <c r="F18" i="16"/>
  <c r="I29" i="17"/>
  <c r="W27" i="16"/>
  <c r="S8" i="16"/>
  <c r="S27" i="16"/>
  <c r="L14" i="12"/>
  <c r="Q8" i="17"/>
  <c r="V12" i="16"/>
  <c r="Y6" i="13"/>
  <c r="W5" i="17"/>
  <c r="Q27" i="13"/>
  <c r="G23" i="17"/>
  <c r="Q7" i="16"/>
  <c r="F2" i="16"/>
  <c r="L25" i="16"/>
  <c r="M21" i="17"/>
  <c r="G18" i="16"/>
  <c r="O24" i="13"/>
  <c r="V24" i="17"/>
  <c r="V14" i="17"/>
  <c r="E12" i="16"/>
  <c r="P2" i="16"/>
  <c r="G14" i="16"/>
  <c r="N3" i="17"/>
  <c r="D22" i="15"/>
  <c r="O5" i="13"/>
  <c r="R3" i="17"/>
  <c r="H4" i="15"/>
  <c r="H29" i="10"/>
  <c r="K24" i="17"/>
  <c r="S14" i="17"/>
  <c r="H6" i="17"/>
  <c r="K15" i="16"/>
  <c r="E7" i="17"/>
  <c r="F12" i="16"/>
  <c r="T22" i="16"/>
  <c r="R12" i="12"/>
  <c r="W30" i="10"/>
  <c r="V26" i="15"/>
  <c r="U11" i="13"/>
  <c r="M14" i="16"/>
  <c r="T23" i="12"/>
  <c r="D7" i="15"/>
  <c r="Y12" i="16"/>
  <c r="N13" i="16"/>
  <c r="X11" i="6"/>
  <c r="Y5" i="16"/>
  <c r="V17" i="16"/>
  <c r="X26" i="17"/>
  <c r="D16" i="16"/>
  <c r="Q19" i="17"/>
  <c r="K23" i="16"/>
  <c r="P13" i="16"/>
  <c r="S5" i="17"/>
  <c r="O23" i="13"/>
  <c r="V29" i="15"/>
  <c r="V22" i="16"/>
  <c r="X14" i="16"/>
  <c r="U19" i="13"/>
  <c r="H17" i="17"/>
  <c r="H21" i="16"/>
  <c r="E23" i="15"/>
  <c r="T22" i="15"/>
  <c r="F12" i="10"/>
  <c r="M31" i="15"/>
  <c r="N30" i="9"/>
  <c r="L16" i="12"/>
  <c r="X21" i="16"/>
  <c r="N20" i="6"/>
  <c r="E28" i="9"/>
  <c r="M31" i="9"/>
  <c r="I10" i="10"/>
  <c r="I26" i="9"/>
  <c r="P28" i="13"/>
  <c r="X24" i="12"/>
  <c r="P3" i="15"/>
  <c r="H11" i="16"/>
  <c r="P29" i="17"/>
  <c r="X23" i="13"/>
  <c r="E26" i="16"/>
  <c r="D15" i="17"/>
  <c r="X30" i="15"/>
  <c r="J27" i="10"/>
  <c r="M24" i="13"/>
  <c r="Y23" i="15"/>
  <c r="Q20" i="15"/>
  <c r="J28" i="17"/>
  <c r="W16" i="15"/>
  <c r="P18" i="15"/>
  <c r="D11" i="17"/>
  <c r="F26" i="16"/>
  <c r="P12" i="13"/>
  <c r="O15" i="12"/>
  <c r="H22" i="12"/>
  <c r="G23" i="15"/>
  <c r="N4" i="12"/>
  <c r="W12" i="16"/>
  <c r="S5" i="15"/>
  <c r="T15" i="16"/>
  <c r="I11" i="15"/>
  <c r="W12" i="17"/>
  <c r="G21" i="15"/>
  <c r="J9" i="12"/>
  <c r="V4" i="15"/>
  <c r="V5" i="16"/>
  <c r="P6" i="15"/>
  <c r="G8" i="16"/>
  <c r="D4" i="15"/>
  <c r="O30" i="16"/>
  <c r="F31" i="13"/>
  <c r="J31" i="13"/>
  <c r="T14" i="16"/>
  <c r="K14" i="13"/>
  <c r="U16" i="15"/>
  <c r="V3" i="16"/>
  <c r="V22" i="15"/>
  <c r="E12" i="12"/>
  <c r="D16" i="15"/>
  <c r="W5" i="16"/>
  <c r="H14" i="15"/>
  <c r="U27" i="16"/>
  <c r="X13" i="15"/>
  <c r="F25" i="15"/>
  <c r="S29" i="10"/>
  <c r="T23" i="16"/>
  <c r="O7" i="12"/>
  <c r="W8" i="15"/>
  <c r="G18" i="15"/>
  <c r="L22" i="12"/>
  <c r="V30" i="13"/>
  <c r="O31" i="13"/>
  <c r="S31" i="15"/>
  <c r="K30" i="12"/>
  <c r="I30" i="9"/>
  <c r="C9" i="13"/>
  <c r="F20" i="9"/>
  <c r="U10" i="10"/>
  <c r="R21" i="10"/>
  <c r="U26" i="10"/>
  <c r="F3" i="6"/>
  <c r="J22" i="9"/>
  <c r="I6" i="13"/>
  <c r="H23" i="13"/>
  <c r="X24" i="13"/>
  <c r="Q9" i="12"/>
  <c r="U16" i="16"/>
  <c r="K15" i="17"/>
  <c r="Y6" i="15"/>
  <c r="E7" i="16"/>
  <c r="I2" i="16"/>
  <c r="K18" i="12"/>
  <c r="K31" i="17"/>
  <c r="L16" i="17"/>
  <c r="S26" i="15"/>
  <c r="N23" i="16"/>
  <c r="R28" i="12"/>
  <c r="O19" i="16"/>
  <c r="G4" i="16"/>
  <c r="J2" i="15"/>
  <c r="E12" i="9"/>
  <c r="N8" i="6"/>
  <c r="I22" i="9"/>
  <c r="L9" i="9"/>
  <c r="P22" i="6"/>
  <c r="L11" i="12"/>
  <c r="W9" i="12"/>
  <c r="T11" i="17"/>
  <c r="V3" i="12"/>
  <c r="W15" i="15"/>
  <c r="K6" i="16"/>
  <c r="F10" i="15"/>
  <c r="Q5" i="17"/>
  <c r="R31" i="9"/>
  <c r="V24" i="13"/>
  <c r="L5" i="16"/>
  <c r="X20" i="16"/>
  <c r="P23" i="16"/>
  <c r="W5" i="13"/>
  <c r="Q29" i="17"/>
  <c r="M30" i="16"/>
  <c r="J13" i="16"/>
  <c r="F14" i="15"/>
  <c r="X15" i="13"/>
  <c r="N3" i="16"/>
  <c r="R5" i="6"/>
  <c r="E17" i="17"/>
  <c r="T13" i="16"/>
  <c r="X8" i="15"/>
  <c r="G30" i="12"/>
  <c r="M8" i="15"/>
  <c r="L18" i="13"/>
  <c r="H9" i="15"/>
  <c r="J15" i="10"/>
  <c r="K31" i="9"/>
  <c r="N8" i="10"/>
  <c r="X16" i="12"/>
  <c r="E4" i="9"/>
  <c r="Q4" i="15"/>
  <c r="W10" i="12"/>
  <c r="O22" i="6"/>
  <c r="U17" i="13"/>
  <c r="Y24" i="6"/>
  <c r="O31" i="12"/>
  <c r="N24" i="10"/>
  <c r="P6" i="9"/>
  <c r="M19" i="6"/>
  <c r="C10" i="15"/>
  <c r="K20" i="6"/>
  <c r="X25" i="12"/>
  <c r="S20" i="6"/>
  <c r="G22" i="9"/>
  <c r="J5" i="9"/>
  <c r="K28" i="6"/>
  <c r="C28" i="16"/>
  <c r="K2" i="9"/>
  <c r="I13" i="12"/>
  <c r="T10" i="13"/>
  <c r="O15" i="6"/>
  <c r="K17" i="9"/>
  <c r="T19" i="9"/>
  <c r="C19" i="13"/>
  <c r="E23" i="6"/>
  <c r="Q12" i="17"/>
  <c r="G31" i="15"/>
  <c r="S2" i="15"/>
  <c r="U26" i="13"/>
  <c r="R25" i="10"/>
  <c r="R22" i="12"/>
  <c r="Y11" i="6"/>
  <c r="F21" i="13"/>
  <c r="H8" i="12"/>
  <c r="F21" i="6"/>
  <c r="J5" i="10"/>
  <c r="T17" i="10"/>
  <c r="T12" i="15"/>
  <c r="S13" i="9"/>
  <c r="T6" i="9"/>
  <c r="V25" i="13"/>
  <c r="M3" i="12"/>
  <c r="V22" i="12"/>
  <c r="P3" i="9"/>
  <c r="V13" i="9"/>
  <c r="V23" i="9"/>
  <c r="H19" i="9"/>
  <c r="E4" i="10"/>
  <c r="R9" i="9"/>
  <c r="C30" i="17"/>
  <c r="V14" i="10"/>
  <c r="U30" i="17"/>
  <c r="I4" i="13"/>
  <c r="H25" i="15"/>
  <c r="J16" i="15"/>
  <c r="H31" i="13"/>
  <c r="M11" i="15"/>
  <c r="T5" i="9"/>
  <c r="N27" i="10"/>
  <c r="T29" i="9"/>
  <c r="V6" i="10"/>
  <c r="P25" i="12"/>
  <c r="M30" i="12"/>
  <c r="R23" i="9"/>
  <c r="J22" i="16"/>
  <c r="U17" i="10"/>
  <c r="U2" i="6"/>
  <c r="E3" i="10"/>
  <c r="V18" i="15"/>
  <c r="W29" i="12"/>
  <c r="R25" i="9"/>
  <c r="W7" i="13"/>
  <c r="Y5" i="12"/>
  <c r="L27" i="12"/>
  <c r="Q25" i="10"/>
  <c r="L26" i="6"/>
  <c r="I30" i="10"/>
  <c r="U30" i="10"/>
  <c r="G13" i="6"/>
  <c r="V5" i="9"/>
  <c r="C23" i="12"/>
  <c r="J2" i="10"/>
  <c r="M4" i="10"/>
  <c r="R9" i="16"/>
  <c r="I15" i="13"/>
  <c r="N14" i="13"/>
  <c r="L5" i="15"/>
  <c r="R8" i="10"/>
  <c r="X19" i="9"/>
  <c r="U3" i="12"/>
  <c r="P12" i="15"/>
  <c r="L19" i="13"/>
  <c r="U21" i="9"/>
  <c r="L28" i="15"/>
  <c r="W16" i="13"/>
  <c r="R26" i="10"/>
  <c r="H26" i="10"/>
  <c r="D21" i="15"/>
  <c r="D29" i="9"/>
  <c r="E3" i="12"/>
  <c r="M12" i="15"/>
  <c r="T7" i="12"/>
  <c r="E27" i="10"/>
  <c r="U28" i="6"/>
  <c r="Q2" i="15"/>
  <c r="G15" i="9"/>
  <c r="O6" i="12"/>
  <c r="Y18" i="15"/>
  <c r="G10" i="12"/>
  <c r="Y29" i="6"/>
  <c r="N28" i="9"/>
  <c r="E3" i="15"/>
  <c r="P5" i="12"/>
  <c r="D26" i="12"/>
  <c r="O25" i="15"/>
  <c r="F18" i="9"/>
  <c r="D13" i="10"/>
  <c r="S15" i="9"/>
  <c r="E20" i="10"/>
  <c r="K24" i="12"/>
  <c r="U11" i="15"/>
  <c r="D12" i="9"/>
  <c r="E15" i="9"/>
  <c r="X29" i="12"/>
  <c r="O22" i="9"/>
  <c r="R30" i="9"/>
  <c r="G24" i="13"/>
  <c r="O8" i="12"/>
  <c r="M9" i="10"/>
  <c r="U23" i="15"/>
  <c r="Q3" i="13"/>
  <c r="K2" i="12"/>
  <c r="X9" i="6"/>
  <c r="F11" i="6"/>
  <c r="H6" i="10"/>
  <c r="M16" i="9"/>
  <c r="Q13" i="9"/>
  <c r="Y26" i="13"/>
  <c r="M15" i="9"/>
  <c r="P20" i="6"/>
  <c r="I13" i="13"/>
  <c r="T31" i="6"/>
  <c r="K26" i="6"/>
  <c r="W8" i="9"/>
  <c r="T25" i="13"/>
  <c r="U16" i="12"/>
  <c r="F17" i="9"/>
  <c r="P19" i="9"/>
  <c r="Y15" i="13"/>
  <c r="I21" i="10"/>
  <c r="K3" i="6"/>
  <c r="U11" i="10"/>
  <c r="Y12" i="6"/>
  <c r="K15" i="10"/>
  <c r="Y18" i="6"/>
  <c r="L27" i="6"/>
  <c r="G13" i="10"/>
  <c r="I26" i="12"/>
  <c r="Q5" i="9"/>
  <c r="C25" i="12"/>
  <c r="E5" i="12"/>
  <c r="C25" i="6"/>
  <c r="C22" i="12"/>
  <c r="G12" i="9"/>
  <c r="D11" i="13"/>
  <c r="G18" i="9"/>
  <c r="G24" i="12"/>
  <c r="W13" i="6"/>
  <c r="Y21" i="6"/>
  <c r="C22" i="13"/>
  <c r="O28" i="9"/>
  <c r="C23" i="17"/>
  <c r="V21" i="12"/>
  <c r="W13" i="12"/>
  <c r="U29" i="9"/>
  <c r="L16" i="9"/>
  <c r="T18" i="6"/>
  <c r="L24" i="10"/>
  <c r="E23" i="9"/>
  <c r="F12" i="9"/>
  <c r="F23" i="10"/>
  <c r="I6" i="10"/>
  <c r="C6" i="10"/>
  <c r="V11" i="9"/>
  <c r="O25" i="6"/>
  <c r="G23" i="6"/>
  <c r="E31" i="9"/>
  <c r="O18" i="13"/>
  <c r="H10" i="10"/>
  <c r="T25" i="6"/>
  <c r="Y13" i="9"/>
  <c r="O4" i="15"/>
  <c r="J26" i="13"/>
  <c r="K6" i="6"/>
  <c r="Q23" i="10"/>
  <c r="L20" i="12"/>
  <c r="W28" i="10"/>
  <c r="C7" i="16"/>
  <c r="C28" i="15"/>
  <c r="I14" i="10"/>
  <c r="S9" i="6"/>
  <c r="Y28" i="9"/>
  <c r="C2" i="15"/>
  <c r="T10" i="6"/>
  <c r="O3" i="12"/>
  <c r="W12" i="6"/>
  <c r="T8" i="12"/>
  <c r="P31" i="6"/>
  <c r="R22" i="6"/>
  <c r="N27" i="12"/>
  <c r="Q30" i="12"/>
  <c r="X8" i="12"/>
  <c r="F9" i="13"/>
  <c r="U2" i="10"/>
  <c r="Q12" i="12"/>
  <c r="W3" i="15"/>
  <c r="F26" i="9"/>
  <c r="Y16" i="15"/>
  <c r="M14" i="15"/>
  <c r="X22" i="16"/>
  <c r="D5" i="17"/>
  <c r="J7" i="15"/>
  <c r="Y13" i="16"/>
  <c r="L21" i="17"/>
  <c r="S6" i="17"/>
  <c r="V10" i="17"/>
  <c r="E19" i="16"/>
  <c r="L31" i="17"/>
  <c r="O13" i="13"/>
  <c r="I19" i="15"/>
  <c r="J30" i="6"/>
  <c r="H19" i="13"/>
  <c r="S28" i="10"/>
  <c r="E27" i="12"/>
  <c r="W9" i="13"/>
  <c r="U4" i="17"/>
  <c r="N6" i="15"/>
  <c r="N17" i="16"/>
  <c r="Q17" i="16"/>
  <c r="N17" i="13"/>
  <c r="K6" i="17"/>
  <c r="Y9" i="16"/>
  <c r="Q29" i="15"/>
  <c r="W7" i="15"/>
  <c r="K12" i="12"/>
  <c r="S10" i="17"/>
  <c r="H9" i="17"/>
  <c r="Q16" i="15"/>
  <c r="E18" i="10"/>
  <c r="E21" i="16"/>
  <c r="Y29" i="17"/>
  <c r="R22" i="16"/>
  <c r="V23" i="17"/>
  <c r="H7" i="16"/>
  <c r="J5" i="15"/>
  <c r="R12" i="10"/>
  <c r="L24" i="16"/>
  <c r="W9" i="16"/>
  <c r="S14" i="15"/>
  <c r="V24" i="15"/>
  <c r="K17" i="12"/>
  <c r="T31" i="13"/>
  <c r="O12" i="12"/>
  <c r="P24" i="9"/>
  <c r="X11" i="12"/>
  <c r="R20" i="10"/>
  <c r="O6" i="10"/>
  <c r="S28" i="6"/>
  <c r="N28" i="15"/>
  <c r="I3" i="12"/>
  <c r="D31" i="9"/>
  <c r="R18" i="10"/>
  <c r="X2" i="10"/>
  <c r="K12" i="10"/>
  <c r="X30" i="9"/>
  <c r="T24" i="6"/>
  <c r="T14" i="12"/>
  <c r="C20" i="17"/>
  <c r="D12" i="6"/>
  <c r="H16" i="12"/>
  <c r="H29" i="12"/>
  <c r="C28" i="6"/>
  <c r="K18" i="6"/>
  <c r="S29" i="9"/>
  <c r="V22" i="9"/>
  <c r="S20" i="9"/>
  <c r="D16" i="6"/>
  <c r="K21" i="6"/>
  <c r="R24" i="10"/>
  <c r="J17" i="9"/>
  <c r="I31" i="10"/>
  <c r="T8" i="6"/>
  <c r="P2" i="9"/>
  <c r="Y7" i="15"/>
  <c r="Q3" i="10"/>
  <c r="I13" i="16"/>
  <c r="X20" i="12"/>
  <c r="L3" i="10"/>
  <c r="T16" i="10"/>
  <c r="R10" i="10"/>
  <c r="U11" i="12"/>
  <c r="O24" i="12"/>
  <c r="E30" i="9"/>
  <c r="J12" i="12"/>
  <c r="S21" i="6"/>
  <c r="W4" i="13"/>
  <c r="Y19" i="16"/>
  <c r="U6" i="12"/>
  <c r="M23" i="12"/>
  <c r="Y10" i="12"/>
  <c r="T27" i="6"/>
  <c r="R7" i="10"/>
  <c r="K30" i="6"/>
  <c r="I17" i="9"/>
  <c r="Q30" i="9"/>
  <c r="E23" i="10"/>
  <c r="C5" i="12"/>
  <c r="G21" i="6"/>
  <c r="T19" i="12"/>
  <c r="U12" i="16"/>
  <c r="J31" i="15"/>
  <c r="R25" i="13"/>
  <c r="I2" i="15"/>
  <c r="U25" i="13"/>
  <c r="F19" i="12"/>
  <c r="N20" i="12"/>
  <c r="D27" i="12"/>
  <c r="Y11" i="10"/>
  <c r="J13" i="6"/>
  <c r="N14" i="12"/>
  <c r="P8" i="10"/>
  <c r="I13" i="9"/>
  <c r="M4" i="15"/>
  <c r="Y18" i="13"/>
  <c r="N25" i="6"/>
  <c r="W30" i="16"/>
  <c r="F19" i="13"/>
  <c r="D2" i="13"/>
  <c r="U4" i="10"/>
  <c r="O17" i="13"/>
  <c r="W31" i="13"/>
  <c r="E9" i="10"/>
  <c r="I28" i="12"/>
  <c r="W11" i="12"/>
  <c r="J16" i="9"/>
  <c r="D11" i="12"/>
  <c r="F15" i="10"/>
  <c r="C2" i="6"/>
  <c r="Y26" i="6"/>
  <c r="D26" i="6"/>
  <c r="Y22" i="13"/>
  <c r="L7" i="16"/>
  <c r="S16" i="13"/>
  <c r="M25" i="10"/>
  <c r="F21" i="15"/>
  <c r="T11" i="13"/>
  <c r="S16" i="9"/>
  <c r="W6" i="6"/>
  <c r="D22" i="12"/>
  <c r="Y17" i="16"/>
  <c r="I26" i="16"/>
  <c r="O12" i="15"/>
  <c r="V6" i="13"/>
  <c r="D3" i="6"/>
  <c r="W4" i="6"/>
  <c r="R14" i="13"/>
  <c r="T28" i="16"/>
  <c r="N28" i="16"/>
  <c r="E19" i="15"/>
  <c r="H6" i="13"/>
  <c r="P7" i="13"/>
  <c r="P21" i="6"/>
  <c r="G4" i="12"/>
  <c r="R27" i="16"/>
  <c r="S6" i="16"/>
  <c r="Q25" i="15"/>
  <c r="V4" i="16"/>
  <c r="P14" i="13"/>
  <c r="U29" i="6"/>
  <c r="K21" i="10"/>
  <c r="N15" i="15"/>
  <c r="G20" i="16"/>
  <c r="V27" i="13"/>
  <c r="G24" i="16"/>
  <c r="K2" i="13"/>
  <c r="C4" i="12"/>
  <c r="K6" i="12"/>
  <c r="W5" i="10"/>
  <c r="U21" i="13"/>
  <c r="P25" i="10"/>
  <c r="J27" i="6"/>
  <c r="H12" i="9"/>
  <c r="P2" i="10"/>
  <c r="S29" i="12"/>
  <c r="Y30" i="10"/>
  <c r="N22" i="9"/>
  <c r="Y27" i="15"/>
  <c r="U12" i="13"/>
  <c r="P31" i="12"/>
  <c r="J8" i="13"/>
  <c r="I12" i="9"/>
  <c r="J13" i="9"/>
  <c r="L15" i="13"/>
  <c r="Y15" i="10"/>
  <c r="E21" i="6"/>
  <c r="Y9" i="9"/>
  <c r="R28" i="9"/>
  <c r="L21" i="15"/>
  <c r="N18" i="15"/>
  <c r="E30" i="15"/>
  <c r="Y19" i="17"/>
  <c r="I10" i="15"/>
  <c r="X10" i="16"/>
  <c r="J26" i="17"/>
  <c r="N27" i="16"/>
  <c r="G20" i="17"/>
  <c r="Q22" i="17"/>
  <c r="L3" i="17"/>
  <c r="I18" i="12"/>
  <c r="Y19" i="13"/>
  <c r="N19" i="10"/>
  <c r="T4" i="12"/>
  <c r="V13" i="13"/>
  <c r="P22" i="10"/>
  <c r="R6" i="13"/>
  <c r="M22" i="16"/>
  <c r="X14" i="15"/>
  <c r="M17" i="15"/>
  <c r="K8" i="15"/>
  <c r="R29" i="12"/>
  <c r="M7" i="16"/>
  <c r="J29" i="15"/>
  <c r="L22" i="15"/>
  <c r="Y15" i="15"/>
  <c r="W28" i="13"/>
  <c r="U11" i="16"/>
  <c r="D9" i="16"/>
  <c r="E25" i="15"/>
  <c r="F30" i="13"/>
  <c r="E30" i="16"/>
  <c r="X2" i="16"/>
  <c r="H15" i="15"/>
  <c r="Q2" i="16"/>
  <c r="S14" i="16"/>
  <c r="D13" i="15"/>
  <c r="Q22" i="10"/>
  <c r="L13" i="16"/>
  <c r="U21" i="16"/>
  <c r="W18" i="13"/>
  <c r="Y8" i="13"/>
  <c r="Y16" i="17"/>
  <c r="M10" i="13"/>
  <c r="U15" i="13"/>
  <c r="E12" i="6"/>
  <c r="H9" i="9"/>
  <c r="Y21" i="10"/>
  <c r="T21" i="12"/>
  <c r="L26" i="12"/>
  <c r="N22" i="13"/>
  <c r="R9" i="12"/>
  <c r="X14" i="13"/>
  <c r="T24" i="9"/>
  <c r="V28" i="12"/>
  <c r="N29" i="9"/>
  <c r="L10" i="12"/>
  <c r="S30" i="9"/>
  <c r="Y5" i="10"/>
  <c r="U7" i="15"/>
  <c r="O19" i="12"/>
  <c r="I28" i="17"/>
  <c r="X20" i="13"/>
  <c r="Q11" i="17"/>
  <c r="K12" i="16"/>
  <c r="E16" i="15"/>
  <c r="L24" i="17"/>
  <c r="F18" i="15"/>
  <c r="Y15" i="16"/>
  <c r="J4" i="16"/>
  <c r="K5" i="15"/>
  <c r="W21" i="15"/>
  <c r="H27" i="9"/>
  <c r="F18" i="6"/>
  <c r="Y7" i="9"/>
  <c r="V18" i="9"/>
  <c r="U7" i="9"/>
  <c r="D18" i="13"/>
  <c r="T21" i="17"/>
  <c r="V16" i="15"/>
  <c r="Q22" i="15"/>
  <c r="Q14" i="15"/>
  <c r="F12" i="12"/>
  <c r="E2" i="15"/>
  <c r="W13" i="15"/>
  <c r="S7" i="15"/>
  <c r="E28" i="15"/>
  <c r="T8" i="13"/>
  <c r="W20" i="17"/>
  <c r="M23" i="16"/>
  <c r="D3" i="15"/>
  <c r="O15" i="15"/>
  <c r="M25" i="16"/>
  <c r="X30" i="16"/>
  <c r="N24" i="15"/>
  <c r="W29" i="17"/>
  <c r="M2" i="15"/>
  <c r="N21" i="15"/>
  <c r="H26" i="16"/>
  <c r="V13" i="16"/>
  <c r="H3" i="15"/>
  <c r="P25" i="13"/>
  <c r="O17" i="12"/>
  <c r="I18" i="16"/>
  <c r="S16" i="12"/>
  <c r="U9" i="12"/>
  <c r="R7" i="6"/>
  <c r="J30" i="10"/>
  <c r="S10" i="10"/>
  <c r="S21" i="12"/>
  <c r="U28" i="9"/>
  <c r="J2" i="13"/>
  <c r="N3" i="15"/>
  <c r="D14" i="12"/>
  <c r="T7" i="6"/>
  <c r="I22" i="12"/>
  <c r="P23" i="9"/>
  <c r="G22" i="13"/>
  <c r="E2" i="9"/>
  <c r="G24" i="6"/>
  <c r="K30" i="10"/>
  <c r="N5" i="9"/>
  <c r="O26" i="12"/>
  <c r="I10" i="13"/>
  <c r="C16" i="17"/>
  <c r="U10" i="6"/>
  <c r="J23" i="6"/>
  <c r="W31" i="9"/>
  <c r="P16" i="10"/>
  <c r="G26" i="9"/>
  <c r="D26" i="9"/>
  <c r="O27" i="9"/>
  <c r="M17" i="9"/>
  <c r="H21" i="9"/>
  <c r="R26" i="6"/>
  <c r="T14" i="9"/>
  <c r="L8" i="15"/>
  <c r="X27" i="10"/>
  <c r="T15" i="15"/>
  <c r="P21" i="15"/>
  <c r="I29" i="9"/>
  <c r="H4" i="6"/>
  <c r="Q7" i="9"/>
  <c r="I20" i="12"/>
  <c r="M27" i="6"/>
  <c r="G16" i="9"/>
  <c r="P31" i="13"/>
  <c r="N11" i="13"/>
  <c r="P8" i="13"/>
  <c r="D21" i="13"/>
  <c r="I12" i="15"/>
  <c r="M14" i="10"/>
  <c r="F16" i="9"/>
  <c r="P21" i="9"/>
  <c r="T2" i="12"/>
  <c r="S18" i="9"/>
  <c r="J29" i="13"/>
  <c r="R23" i="6"/>
  <c r="M18" i="6"/>
  <c r="H16" i="10"/>
  <c r="C21" i="15"/>
  <c r="O7" i="6"/>
  <c r="R10" i="13"/>
  <c r="D26" i="13"/>
  <c r="I31" i="13"/>
  <c r="S26" i="16"/>
  <c r="O7" i="9"/>
  <c r="G23" i="9"/>
  <c r="L30" i="9"/>
  <c r="P17" i="13"/>
  <c r="C6" i="6"/>
  <c r="H20" i="9"/>
  <c r="I4" i="12"/>
  <c r="T24" i="12"/>
  <c r="N21" i="6"/>
  <c r="E22" i="13"/>
  <c r="Q11" i="13"/>
  <c r="G29" i="13"/>
  <c r="W26" i="10"/>
  <c r="Q28" i="12"/>
  <c r="D29" i="13"/>
  <c r="J4" i="15"/>
  <c r="G5" i="9"/>
  <c r="D18" i="12"/>
  <c r="N26" i="10"/>
  <c r="W8" i="12"/>
  <c r="I17" i="13"/>
  <c r="M5" i="13"/>
  <c r="I17" i="17"/>
  <c r="X18" i="10"/>
  <c r="O3" i="16"/>
  <c r="R10" i="16"/>
  <c r="G16" i="15"/>
  <c r="X23" i="17"/>
  <c r="G22" i="15"/>
  <c r="V16" i="16"/>
  <c r="L23" i="16"/>
  <c r="M13" i="15"/>
  <c r="Y21" i="15"/>
  <c r="D24" i="6"/>
  <c r="D24" i="10"/>
  <c r="L21" i="6"/>
  <c r="L8" i="10"/>
  <c r="I8" i="6"/>
  <c r="I19" i="13"/>
  <c r="W3" i="17"/>
  <c r="U12" i="17"/>
  <c r="T14" i="15"/>
  <c r="L19" i="12"/>
  <c r="M27" i="13"/>
  <c r="G10" i="15"/>
  <c r="Q17" i="15"/>
  <c r="X25" i="13"/>
  <c r="E27" i="15"/>
  <c r="O11" i="9"/>
  <c r="W20" i="16"/>
  <c r="U2" i="15"/>
  <c r="P4" i="13"/>
  <c r="I31" i="15"/>
  <c r="Y24" i="15"/>
  <c r="S25" i="15"/>
  <c r="D24" i="13"/>
  <c r="U5" i="17"/>
  <c r="W10" i="15"/>
  <c r="J26" i="15"/>
  <c r="J8" i="15"/>
  <c r="F6" i="15"/>
  <c r="J11" i="15"/>
  <c r="W20" i="13"/>
  <c r="M20" i="13"/>
  <c r="S22" i="10"/>
  <c r="J17" i="10"/>
  <c r="H10" i="16"/>
  <c r="K31" i="12"/>
  <c r="M27" i="9"/>
  <c r="V13" i="6"/>
  <c r="K24" i="9"/>
  <c r="I21" i="6"/>
  <c r="O16" i="13"/>
  <c r="H21" i="15"/>
  <c r="U5" i="12"/>
  <c r="C15" i="6"/>
  <c r="Q3" i="9"/>
  <c r="K27" i="10"/>
  <c r="D26" i="10"/>
  <c r="P23" i="6"/>
  <c r="I5" i="6"/>
  <c r="Y20" i="17"/>
  <c r="J3" i="15"/>
  <c r="S29" i="16"/>
  <c r="K25" i="16"/>
  <c r="N3" i="13"/>
  <c r="R3" i="16"/>
  <c r="J19" i="17"/>
  <c r="R26" i="15"/>
  <c r="G26" i="17"/>
  <c r="P3" i="13"/>
  <c r="X6" i="17"/>
  <c r="V29" i="13"/>
  <c r="K28" i="15"/>
  <c r="G19" i="6"/>
  <c r="M29" i="12"/>
  <c r="V5" i="6"/>
  <c r="L23" i="12"/>
  <c r="U7" i="13"/>
  <c r="K31" i="15"/>
  <c r="I13" i="15"/>
  <c r="S31" i="17"/>
  <c r="P24" i="13"/>
  <c r="P22" i="16"/>
  <c r="Y28" i="16"/>
  <c r="G21" i="16"/>
  <c r="T25" i="16"/>
  <c r="T26" i="12"/>
  <c r="T17" i="12"/>
  <c r="K27" i="17"/>
  <c r="H11" i="12"/>
  <c r="K28" i="17"/>
  <c r="U14" i="9"/>
  <c r="V7" i="17"/>
  <c r="Q14" i="17"/>
  <c r="L6" i="16"/>
  <c r="E10" i="13"/>
  <c r="H13" i="15"/>
  <c r="R10" i="15"/>
  <c r="S6" i="10"/>
  <c r="F31" i="17"/>
  <c r="P17" i="17"/>
  <c r="H29" i="16"/>
  <c r="F18" i="10"/>
  <c r="P31" i="15"/>
  <c r="O29" i="13"/>
  <c r="F27" i="15"/>
  <c r="J22" i="12"/>
  <c r="E29" i="10"/>
  <c r="J21" i="9"/>
  <c r="I17" i="12"/>
  <c r="Y15" i="12"/>
  <c r="Y20" i="12"/>
  <c r="H12" i="12"/>
  <c r="T31" i="9"/>
  <c r="L10" i="6"/>
  <c r="S31" i="10"/>
  <c r="D10" i="10"/>
  <c r="C7" i="12"/>
  <c r="O24" i="9"/>
  <c r="L17" i="12"/>
  <c r="Q28" i="6"/>
  <c r="I14" i="9"/>
  <c r="I6" i="12"/>
  <c r="J29" i="9"/>
  <c r="M22" i="10"/>
  <c r="C7" i="9"/>
  <c r="Y20" i="6"/>
  <c r="E8" i="9"/>
  <c r="X14" i="9"/>
  <c r="I21" i="13"/>
  <c r="O19" i="13"/>
  <c r="E3" i="9"/>
  <c r="W12" i="9"/>
  <c r="E20" i="9"/>
  <c r="D20" i="6"/>
  <c r="C21" i="6"/>
  <c r="K29" i="12"/>
  <c r="Y10" i="16"/>
  <c r="O31" i="15"/>
  <c r="O27" i="12"/>
  <c r="I18" i="9"/>
  <c r="W16" i="6"/>
  <c r="D23" i="6"/>
  <c r="P27" i="15"/>
  <c r="O16" i="9"/>
  <c r="R14" i="10"/>
  <c r="G2" i="12"/>
  <c r="L3" i="12"/>
  <c r="D23" i="16"/>
  <c r="G17" i="12"/>
  <c r="N30" i="13"/>
  <c r="G7" i="13"/>
  <c r="S21" i="9"/>
  <c r="V21" i="6"/>
  <c r="J6" i="12"/>
  <c r="L22" i="9"/>
  <c r="G4" i="10"/>
  <c r="I26" i="13"/>
  <c r="S10" i="6"/>
  <c r="X25" i="9"/>
  <c r="C29" i="15"/>
  <c r="U20" i="6"/>
  <c r="V22" i="6"/>
  <c r="L25" i="9"/>
  <c r="X15" i="15"/>
  <c r="H30" i="16"/>
  <c r="U20" i="13"/>
  <c r="L26" i="15"/>
  <c r="H18" i="12"/>
  <c r="L20" i="6"/>
  <c r="G13" i="12"/>
  <c r="N27" i="9"/>
  <c r="V3" i="13"/>
  <c r="V15" i="13"/>
  <c r="M13" i="9"/>
  <c r="M12" i="12"/>
  <c r="G9" i="12"/>
  <c r="H28" i="10"/>
  <c r="L21" i="9"/>
  <c r="E7" i="13"/>
  <c r="G25" i="15"/>
  <c r="T9" i="12"/>
  <c r="E2" i="13"/>
  <c r="M8" i="12"/>
  <c r="C29" i="12"/>
  <c r="R26" i="9"/>
  <c r="R25" i="16"/>
  <c r="S24" i="9"/>
  <c r="U6" i="15"/>
  <c r="R11" i="16"/>
  <c r="W13" i="13"/>
  <c r="K23" i="17"/>
  <c r="W21" i="12"/>
  <c r="Q20" i="13"/>
  <c r="G31" i="17"/>
  <c r="N2" i="15"/>
  <c r="O14" i="13"/>
  <c r="P16" i="9"/>
  <c r="P8" i="12"/>
  <c r="E9" i="13"/>
  <c r="S26" i="13"/>
  <c r="C18" i="15"/>
  <c r="L29" i="13"/>
  <c r="K3" i="10"/>
  <c r="L6" i="9"/>
  <c r="K8" i="9"/>
  <c r="H5" i="13"/>
  <c r="H16" i="9"/>
  <c r="M18" i="9"/>
  <c r="D6" i="16"/>
  <c r="L31" i="13"/>
  <c r="X23" i="10"/>
  <c r="K23" i="12"/>
  <c r="D6" i="13"/>
  <c r="Y19" i="15"/>
  <c r="V18" i="6"/>
  <c r="L22" i="13"/>
  <c r="D27" i="13"/>
  <c r="N29" i="13"/>
  <c r="G19" i="10"/>
  <c r="U9" i="10"/>
  <c r="X5" i="10"/>
  <c r="M5" i="9"/>
  <c r="N10" i="13"/>
  <c r="F13" i="15"/>
  <c r="G8" i="10"/>
  <c r="S11" i="10"/>
  <c r="D12" i="15"/>
  <c r="R27" i="6"/>
  <c r="J17" i="12"/>
  <c r="X12" i="6"/>
  <c r="Y14" i="9"/>
  <c r="L3" i="13"/>
  <c r="E27" i="6"/>
  <c r="N30" i="10"/>
  <c r="X7" i="10"/>
  <c r="W27" i="12"/>
  <c r="U19" i="10"/>
  <c r="P30" i="6"/>
  <c r="C15" i="9"/>
  <c r="T16" i="15"/>
  <c r="Q23" i="13"/>
  <c r="F29" i="16"/>
  <c r="U30" i="13"/>
  <c r="Q12" i="13"/>
  <c r="X2" i="13"/>
  <c r="T20" i="13"/>
  <c r="O3" i="13"/>
  <c r="S15" i="13"/>
  <c r="I18" i="10"/>
  <c r="P3" i="12"/>
  <c r="N9" i="16"/>
  <c r="W9" i="10"/>
  <c r="J20" i="15"/>
  <c r="V10" i="12"/>
  <c r="X17" i="9"/>
  <c r="H24" i="16"/>
  <c r="Y7" i="13"/>
  <c r="H13" i="16"/>
  <c r="I12" i="12"/>
  <c r="K7" i="13"/>
  <c r="E10" i="15"/>
  <c r="R2" i="9"/>
  <c r="Y31" i="15"/>
  <c r="F10" i="9"/>
  <c r="J24" i="12"/>
  <c r="P26" i="10"/>
  <c r="W26" i="6"/>
  <c r="G19" i="15"/>
  <c r="Q2" i="10"/>
  <c r="V8" i="10"/>
  <c r="Q4" i="12"/>
  <c r="M11" i="6"/>
  <c r="T21" i="13"/>
  <c r="J24" i="13"/>
  <c r="D3" i="13"/>
  <c r="E27" i="9"/>
  <c r="O30" i="9"/>
  <c r="I16" i="10"/>
  <c r="T30" i="9"/>
  <c r="I2" i="10"/>
  <c r="P7" i="9"/>
  <c r="I13" i="10"/>
  <c r="C2" i="9"/>
  <c r="S15" i="6"/>
  <c r="V21" i="9"/>
  <c r="Y25" i="10"/>
  <c r="O13" i="10"/>
  <c r="E26" i="13"/>
  <c r="E16" i="9"/>
  <c r="H27" i="13"/>
  <c r="R16" i="9"/>
  <c r="J31" i="6"/>
  <c r="K2" i="6"/>
  <c r="L24" i="13"/>
  <c r="F29" i="6"/>
  <c r="Y19" i="10"/>
  <c r="K12" i="9"/>
  <c r="V23" i="6"/>
  <c r="Y17" i="13"/>
  <c r="I21" i="9"/>
  <c r="N3" i="6"/>
  <c r="C17" i="12"/>
  <c r="X4" i="9"/>
  <c r="D2" i="9"/>
  <c r="K9" i="6"/>
  <c r="X27" i="6"/>
  <c r="E10" i="6"/>
  <c r="I14" i="6"/>
  <c r="R15" i="12"/>
  <c r="P8" i="6"/>
  <c r="C21" i="17"/>
  <c r="F14" i="10"/>
  <c r="U27" i="9"/>
  <c r="O22" i="13"/>
  <c r="F17" i="10"/>
  <c r="R13" i="12"/>
  <c r="F17" i="6"/>
  <c r="J21" i="10"/>
  <c r="N7" i="6"/>
  <c r="H4" i="12"/>
  <c r="Q29" i="12"/>
  <c r="M3" i="6"/>
  <c r="W14" i="9"/>
  <c r="Q12" i="6"/>
  <c r="S7" i="13"/>
  <c r="O15" i="13"/>
  <c r="T15" i="10"/>
  <c r="W24" i="12"/>
  <c r="Q10" i="10"/>
  <c r="C12" i="10"/>
  <c r="L28" i="9"/>
  <c r="K23" i="9"/>
  <c r="C25" i="16"/>
  <c r="N27" i="6"/>
  <c r="K24" i="6"/>
  <c r="T16" i="6"/>
  <c r="W24" i="9"/>
  <c r="O28" i="6"/>
  <c r="R27" i="10"/>
  <c r="K5" i="9"/>
  <c r="U15" i="9"/>
  <c r="O6" i="6"/>
  <c r="H27" i="12"/>
  <c r="K16" i="9"/>
  <c r="J23" i="10"/>
  <c r="J3" i="6"/>
  <c r="C27" i="12"/>
  <c r="I26" i="10"/>
  <c r="D16" i="13"/>
  <c r="R11" i="10"/>
  <c r="E10" i="10"/>
  <c r="N9" i="12"/>
  <c r="N3" i="12"/>
  <c r="K9" i="12"/>
  <c r="W2" i="13"/>
  <c r="Y10" i="9"/>
  <c r="Q3" i="6"/>
  <c r="W22" i="10"/>
  <c r="C6" i="9"/>
  <c r="T25" i="9"/>
  <c r="V30" i="6"/>
  <c r="C27" i="13"/>
  <c r="N14" i="10"/>
  <c r="R21" i="6"/>
  <c r="I9" i="12"/>
  <c r="E7" i="10"/>
  <c r="U25" i="12"/>
  <c r="L2" i="6"/>
  <c r="C30" i="6"/>
  <c r="Q25" i="13"/>
  <c r="O7" i="10"/>
  <c r="E29" i="12"/>
  <c r="X27" i="9"/>
  <c r="N28" i="6"/>
  <c r="L5" i="6"/>
  <c r="X21" i="15"/>
  <c r="I20" i="6"/>
  <c r="X15" i="12"/>
  <c r="P15" i="13"/>
  <c r="T3" i="10"/>
  <c r="P17" i="10"/>
  <c r="L23" i="10"/>
  <c r="J20" i="12"/>
  <c r="U25" i="16"/>
  <c r="J11" i="9"/>
  <c r="E5" i="15"/>
  <c r="W28" i="12"/>
  <c r="T7" i="10"/>
  <c r="X9" i="12"/>
  <c r="V24" i="10"/>
  <c r="Y20" i="10"/>
  <c r="K14" i="6"/>
  <c r="N5" i="10"/>
  <c r="M28" i="13"/>
  <c r="G30" i="16"/>
  <c r="I28" i="13"/>
  <c r="O20" i="9"/>
  <c r="S8" i="12"/>
  <c r="Y30" i="9"/>
  <c r="P15" i="9"/>
  <c r="G3" i="9"/>
  <c r="I13" i="6"/>
  <c r="O8" i="13"/>
  <c r="D4" i="10"/>
  <c r="F9" i="12"/>
  <c r="I28" i="9"/>
  <c r="D8" i="13"/>
  <c r="D17" i="9"/>
  <c r="V6" i="6"/>
  <c r="C20" i="6"/>
  <c r="L28" i="10"/>
  <c r="O13" i="12"/>
  <c r="J31" i="12"/>
  <c r="X23" i="6"/>
  <c r="Y30" i="13"/>
  <c r="T4" i="6"/>
  <c r="N4" i="6"/>
  <c r="R31" i="6"/>
  <c r="F26" i="12"/>
  <c r="E15" i="6"/>
  <c r="X6" i="10"/>
  <c r="I27" i="10"/>
  <c r="V4" i="9"/>
  <c r="C3" i="6"/>
  <c r="C31" i="17"/>
  <c r="W20" i="10"/>
  <c r="H30" i="10"/>
  <c r="J6" i="9"/>
  <c r="J16" i="6"/>
  <c r="Y30" i="6"/>
  <c r="V5" i="10"/>
  <c r="C3" i="10"/>
  <c r="W31" i="10"/>
  <c r="C30" i="13"/>
  <c r="R7" i="12"/>
  <c r="G8" i="6"/>
  <c r="I9" i="10"/>
  <c r="T28" i="9"/>
  <c r="R8" i="6"/>
  <c r="T10" i="10"/>
  <c r="J10" i="6"/>
  <c r="L10" i="9"/>
  <c r="E25" i="13"/>
  <c r="P29" i="9"/>
  <c r="G6" i="10"/>
  <c r="C18" i="16"/>
  <c r="R5" i="9"/>
  <c r="R19" i="6"/>
  <c r="K20" i="9"/>
  <c r="C8" i="6"/>
  <c r="J7" i="6"/>
  <c r="C24" i="16"/>
  <c r="U12" i="10"/>
  <c r="R28" i="10"/>
  <c r="T5" i="6"/>
  <c r="T15" i="6"/>
  <c r="K11" i="10"/>
  <c r="C2" i="10"/>
  <c r="I27" i="9"/>
  <c r="C13" i="13"/>
  <c r="K27" i="12"/>
  <c r="V29" i="6"/>
  <c r="P25" i="6"/>
  <c r="V9" i="10"/>
  <c r="N23" i="6"/>
  <c r="G30" i="6"/>
  <c r="S17" i="9"/>
  <c r="N2" i="9"/>
  <c r="U13" i="6"/>
  <c r="Q22" i="12"/>
  <c r="C10" i="10"/>
  <c r="H24" i="6"/>
  <c r="W13" i="9"/>
  <c r="F2" i="9"/>
  <c r="D8" i="6"/>
  <c r="D19" i="6"/>
  <c r="D27" i="9"/>
  <c r="F4" i="9"/>
  <c r="G9" i="10"/>
  <c r="D15" i="9"/>
  <c r="X16" i="10"/>
  <c r="Q30" i="10"/>
  <c r="Q21" i="6"/>
  <c r="P18" i="6"/>
  <c r="F30" i="6"/>
  <c r="M31" i="12"/>
  <c r="I16" i="6"/>
  <c r="Q31" i="9"/>
  <c r="U25" i="9"/>
  <c r="P14" i="6"/>
  <c r="V17" i="13"/>
  <c r="O31" i="10"/>
  <c r="C23" i="15"/>
  <c r="X31" i="6"/>
  <c r="H2" i="12"/>
  <c r="S5" i="12"/>
  <c r="G6" i="6"/>
  <c r="M29" i="10"/>
  <c r="O10" i="12"/>
  <c r="N26" i="6"/>
  <c r="Y2" i="6"/>
  <c r="E4" i="12"/>
  <c r="X11" i="9"/>
  <c r="C16" i="16"/>
  <c r="M30" i="6"/>
  <c r="L27" i="9"/>
  <c r="W20" i="6"/>
  <c r="X14" i="6"/>
  <c r="E31" i="12"/>
  <c r="C19" i="12"/>
  <c r="D21" i="10"/>
  <c r="U22" i="6"/>
  <c r="U23" i="12"/>
  <c r="C9" i="18"/>
  <c r="C29" i="18"/>
  <c r="C30" i="18"/>
  <c r="V23" i="10"/>
  <c r="C24" i="15"/>
  <c r="C14" i="6"/>
  <c r="N18" i="9"/>
  <c r="H19" i="6"/>
  <c r="C10" i="9"/>
  <c r="P10" i="6"/>
  <c r="F24" i="13"/>
  <c r="Y23" i="9"/>
  <c r="K3" i="9"/>
  <c r="C21" i="10"/>
  <c r="V4" i="12"/>
  <c r="M5" i="12"/>
  <c r="M2" i="9"/>
  <c r="L5" i="9"/>
  <c r="L21" i="13"/>
  <c r="T21" i="10"/>
  <c r="P27" i="9"/>
  <c r="P27" i="12"/>
  <c r="R29" i="13"/>
  <c r="O14" i="6"/>
  <c r="K11" i="9"/>
  <c r="S2" i="12"/>
  <c r="Q14" i="13"/>
  <c r="F5" i="6"/>
  <c r="D6" i="6"/>
  <c r="E18" i="6"/>
  <c r="G17" i="6"/>
  <c r="J18" i="9"/>
  <c r="V20" i="16"/>
  <c r="H10" i="13"/>
  <c r="H11" i="15"/>
  <c r="Q8" i="15"/>
  <c r="E8" i="13"/>
  <c r="V2" i="16"/>
  <c r="D14" i="16"/>
  <c r="U3" i="17"/>
  <c r="Y18" i="16"/>
  <c r="P10" i="15"/>
  <c r="I2" i="13"/>
  <c r="H23" i="15"/>
  <c r="P13" i="10"/>
  <c r="D3" i="12"/>
  <c r="T28" i="13"/>
  <c r="C9" i="17"/>
  <c r="M2" i="10"/>
  <c r="R7" i="9"/>
  <c r="V2" i="9"/>
  <c r="U17" i="6"/>
  <c r="T9" i="6"/>
  <c r="O3" i="10"/>
  <c r="I25" i="6"/>
  <c r="H14" i="16"/>
  <c r="J15" i="16"/>
  <c r="X7" i="9"/>
  <c r="D16" i="10"/>
  <c r="M26" i="12"/>
  <c r="H17" i="13"/>
  <c r="F20" i="6"/>
  <c r="Y11" i="15"/>
  <c r="X31" i="12"/>
  <c r="X2" i="9"/>
  <c r="R20" i="13"/>
  <c r="T2" i="9"/>
  <c r="O30" i="12"/>
  <c r="E22" i="12"/>
  <c r="M24" i="16"/>
  <c r="J22" i="15"/>
  <c r="Q14" i="6"/>
  <c r="C18" i="6"/>
  <c r="L11" i="13"/>
  <c r="D16" i="9"/>
  <c r="O27" i="13"/>
  <c r="X23" i="12"/>
  <c r="E29" i="16"/>
  <c r="M7" i="13"/>
  <c r="C12" i="13"/>
  <c r="F4" i="12"/>
  <c r="R15" i="10"/>
  <c r="W26" i="9"/>
  <c r="P28" i="6"/>
  <c r="O29" i="9"/>
  <c r="D5" i="6"/>
  <c r="D2" i="15"/>
  <c r="N24" i="16"/>
  <c r="J24" i="15"/>
  <c r="I19" i="9"/>
  <c r="N9" i="10"/>
  <c r="T9" i="15"/>
  <c r="X29" i="13"/>
  <c r="H16" i="15"/>
  <c r="P16" i="13"/>
  <c r="T4" i="13"/>
  <c r="P27" i="17"/>
  <c r="M2" i="13"/>
  <c r="G17" i="13"/>
  <c r="D20" i="12"/>
  <c r="I7" i="13"/>
  <c r="N2" i="13"/>
  <c r="M16" i="12"/>
  <c r="Q3" i="12"/>
  <c r="H12" i="15"/>
  <c r="R27" i="15"/>
  <c r="V5" i="12"/>
  <c r="J15" i="15"/>
  <c r="R31" i="15"/>
  <c r="D19" i="15"/>
  <c r="D7" i="13"/>
  <c r="J31" i="10"/>
  <c r="H11" i="10"/>
  <c r="C17" i="10"/>
  <c r="U31" i="12"/>
  <c r="V3" i="10"/>
  <c r="R13" i="9"/>
  <c r="Q26" i="9"/>
  <c r="W21" i="6"/>
  <c r="U15" i="12"/>
  <c r="E12" i="13"/>
  <c r="T28" i="12"/>
  <c r="I4" i="9"/>
  <c r="H18" i="9"/>
  <c r="P14" i="9"/>
  <c r="S22" i="13"/>
  <c r="F3" i="10"/>
  <c r="D10" i="12"/>
  <c r="I7" i="6"/>
  <c r="C11" i="16"/>
  <c r="C2" i="16"/>
  <c r="I11" i="10"/>
  <c r="E2" i="6"/>
  <c r="O19" i="6"/>
  <c r="R19" i="9"/>
  <c r="I23" i="16"/>
  <c r="W29" i="13"/>
  <c r="H17" i="12"/>
  <c r="D29" i="10"/>
  <c r="H8" i="10"/>
  <c r="T22" i="6"/>
  <c r="C17" i="16"/>
  <c r="F14" i="6"/>
  <c r="S7" i="12"/>
  <c r="N31" i="6"/>
  <c r="M18" i="10"/>
  <c r="M17" i="12"/>
  <c r="F22" i="13"/>
  <c r="L4" i="9"/>
  <c r="P3" i="6"/>
  <c r="H24" i="9"/>
  <c r="R22" i="13"/>
  <c r="H28" i="9"/>
  <c r="W16" i="9"/>
  <c r="E4" i="6"/>
  <c r="C26" i="15"/>
  <c r="R14" i="6"/>
  <c r="R6" i="9"/>
  <c r="R3" i="9"/>
  <c r="G25" i="10"/>
  <c r="W8" i="10"/>
  <c r="I9" i="6"/>
  <c r="N12" i="9"/>
  <c r="Y7" i="10"/>
  <c r="C26" i="12"/>
  <c r="W11" i="6"/>
  <c r="G28" i="12"/>
  <c r="J9" i="9"/>
  <c r="I29" i="6"/>
  <c r="O12" i="9"/>
  <c r="C7" i="13"/>
  <c r="T27" i="9"/>
  <c r="S21" i="13"/>
  <c r="V11" i="15"/>
  <c r="E9" i="12"/>
  <c r="D11" i="10"/>
  <c r="E25" i="6"/>
  <c r="W8" i="6"/>
  <c r="Y4" i="12"/>
  <c r="H18" i="6"/>
  <c r="D27" i="6"/>
  <c r="M14" i="12"/>
  <c r="T9" i="9"/>
  <c r="Q22" i="9"/>
  <c r="C14" i="15"/>
  <c r="O10" i="13"/>
  <c r="E16" i="6"/>
  <c r="N4" i="9"/>
  <c r="G15" i="6"/>
  <c r="K10" i="10"/>
  <c r="Q22" i="13"/>
  <c r="E25" i="12"/>
  <c r="T7" i="15"/>
  <c r="Y22" i="12"/>
  <c r="I20" i="9"/>
  <c r="G21" i="13"/>
  <c r="Y30" i="15"/>
  <c r="X6" i="9"/>
  <c r="E8" i="6"/>
  <c r="C17" i="6"/>
  <c r="G16" i="13"/>
  <c r="I26" i="6"/>
  <c r="Q16" i="6"/>
  <c r="K13" i="10"/>
  <c r="H8" i="9"/>
  <c r="E13" i="6"/>
  <c r="N18" i="6"/>
  <c r="N13" i="6"/>
  <c r="G27" i="10"/>
  <c r="U13" i="12"/>
  <c r="I24" i="10"/>
  <c r="K21" i="12"/>
  <c r="S24" i="12"/>
  <c r="Y19" i="12"/>
  <c r="K16" i="6"/>
  <c r="Y4" i="10"/>
  <c r="F18" i="12"/>
  <c r="K21" i="9"/>
  <c r="M21" i="13"/>
  <c r="G11" i="9"/>
  <c r="X9" i="10"/>
  <c r="E6" i="9"/>
  <c r="D12" i="13"/>
  <c r="P23" i="12"/>
  <c r="V28" i="9"/>
  <c r="H7" i="9"/>
  <c r="L15" i="15"/>
  <c r="U3" i="6"/>
  <c r="K18" i="10"/>
  <c r="F17" i="13"/>
  <c r="F23" i="9"/>
  <c r="M16" i="6"/>
  <c r="K4" i="9"/>
  <c r="T24" i="13"/>
  <c r="H2" i="13"/>
  <c r="V8" i="13"/>
  <c r="U8" i="6"/>
  <c r="G16" i="10"/>
  <c r="T9" i="10"/>
  <c r="K16" i="13"/>
  <c r="I22" i="13"/>
  <c r="J5" i="12"/>
  <c r="U3" i="9"/>
  <c r="M30" i="9"/>
  <c r="X24" i="6"/>
  <c r="H15" i="10"/>
  <c r="S31" i="6"/>
  <c r="I16" i="9"/>
  <c r="Y17" i="15"/>
  <c r="S13" i="12"/>
  <c r="V14" i="9"/>
  <c r="U18" i="9"/>
  <c r="E24" i="6"/>
  <c r="N12" i="10"/>
  <c r="I11" i="9"/>
  <c r="K30" i="15"/>
  <c r="P12" i="10"/>
  <c r="Y24" i="9"/>
  <c r="J15" i="9"/>
  <c r="Q15" i="10"/>
  <c r="X22" i="10"/>
  <c r="L25" i="6"/>
  <c r="C9" i="16"/>
  <c r="G25" i="12"/>
  <c r="V26" i="10"/>
  <c r="G12" i="12"/>
  <c r="S20" i="12"/>
  <c r="S20" i="10"/>
  <c r="T24" i="10"/>
  <c r="K7" i="6"/>
  <c r="W30" i="9"/>
  <c r="C16" i="15"/>
  <c r="C19" i="17"/>
  <c r="O6" i="9"/>
  <c r="K17" i="16"/>
  <c r="R24" i="17"/>
  <c r="G7" i="15"/>
  <c r="S19" i="9"/>
  <c r="T6" i="10"/>
  <c r="U2" i="9"/>
  <c r="L23" i="17"/>
  <c r="Y2" i="13"/>
  <c r="U6" i="13"/>
  <c r="S29" i="15"/>
  <c r="H12" i="17"/>
  <c r="P25" i="15"/>
  <c r="J29" i="6"/>
  <c r="E29" i="13"/>
  <c r="W10" i="9"/>
  <c r="K22" i="6"/>
  <c r="R24" i="12"/>
  <c r="C11" i="13"/>
  <c r="W7" i="6"/>
  <c r="K4" i="12"/>
  <c r="U16" i="6"/>
  <c r="M4" i="9"/>
  <c r="N24" i="6"/>
  <c r="P16" i="12"/>
  <c r="N5" i="15"/>
  <c r="F3" i="12"/>
  <c r="E16" i="10"/>
  <c r="D19" i="10"/>
  <c r="O28" i="10"/>
  <c r="X19" i="12"/>
  <c r="H4" i="9"/>
  <c r="M20" i="6"/>
  <c r="L13" i="10"/>
  <c r="C18" i="12"/>
  <c r="N19" i="6"/>
  <c r="O25" i="10"/>
  <c r="N26" i="16"/>
  <c r="R8" i="13"/>
  <c r="U22" i="10"/>
  <c r="O19" i="10"/>
  <c r="N18" i="10"/>
  <c r="M27" i="12"/>
  <c r="S23" i="12"/>
  <c r="D23" i="12"/>
  <c r="U4" i="15"/>
  <c r="U11" i="9"/>
  <c r="M18" i="12"/>
  <c r="H24" i="10"/>
  <c r="S13" i="13"/>
  <c r="G27" i="13"/>
  <c r="R18" i="12"/>
  <c r="F22" i="6"/>
  <c r="C30" i="15"/>
  <c r="T4" i="10"/>
  <c r="F4" i="13"/>
  <c r="P23" i="15"/>
  <c r="U8" i="15"/>
  <c r="W12" i="10"/>
  <c r="D30" i="10"/>
  <c r="H29" i="17"/>
  <c r="G6" i="13"/>
  <c r="X31" i="15"/>
  <c r="F10" i="12"/>
  <c r="Q16" i="9"/>
  <c r="I22" i="17"/>
  <c r="Y25" i="13"/>
  <c r="V14" i="13"/>
  <c r="P2" i="12"/>
  <c r="O11" i="13"/>
  <c r="D21" i="12"/>
  <c r="F15" i="15"/>
  <c r="J7" i="12"/>
  <c r="X27" i="15"/>
  <c r="I5" i="12"/>
  <c r="H11" i="13"/>
  <c r="I12" i="17"/>
  <c r="J15" i="13"/>
  <c r="D7" i="16"/>
  <c r="V31" i="13"/>
  <c r="E3" i="13"/>
  <c r="Y26" i="9"/>
  <c r="F21" i="10"/>
  <c r="G4" i="13"/>
  <c r="V8" i="12"/>
  <c r="F24" i="6"/>
  <c r="X24" i="9"/>
  <c r="W13" i="10"/>
  <c r="K7" i="10"/>
  <c r="F11" i="12"/>
  <c r="F9" i="16"/>
  <c r="O5" i="12"/>
  <c r="J22" i="10"/>
  <c r="G5" i="12"/>
  <c r="W30" i="6"/>
  <c r="U14" i="12"/>
  <c r="W24" i="6"/>
  <c r="Q19" i="12"/>
  <c r="M14" i="9"/>
  <c r="C24" i="13"/>
  <c r="N24" i="12"/>
  <c r="D28" i="15"/>
  <c r="K15" i="13"/>
  <c r="S14" i="13"/>
  <c r="G19" i="12"/>
  <c r="T20" i="15"/>
  <c r="V9" i="13"/>
  <c r="K5" i="10"/>
  <c r="P10" i="9"/>
  <c r="I18" i="6"/>
  <c r="S5" i="6"/>
  <c r="F13" i="6"/>
  <c r="U18" i="12"/>
  <c r="C20" i="9"/>
  <c r="S2" i="9"/>
  <c r="T3" i="12"/>
  <c r="T11" i="6"/>
  <c r="K13" i="9"/>
  <c r="M15" i="6"/>
  <c r="U29" i="12"/>
  <c r="Y23" i="12"/>
  <c r="E6" i="6"/>
  <c r="M23" i="9"/>
  <c r="T18" i="10"/>
  <c r="C7" i="17"/>
  <c r="C25" i="9"/>
  <c r="O26" i="9"/>
  <c r="N28" i="13"/>
  <c r="G5" i="6"/>
  <c r="N31" i="12"/>
  <c r="L28" i="12"/>
  <c r="W16" i="10"/>
  <c r="K25" i="10"/>
  <c r="I15" i="12"/>
  <c r="Y6" i="6"/>
  <c r="Y13" i="13"/>
  <c r="N25" i="12"/>
  <c r="V17" i="9"/>
  <c r="D4" i="9"/>
  <c r="H3" i="13"/>
  <c r="X30" i="6"/>
  <c r="G31" i="10"/>
  <c r="R16" i="13"/>
  <c r="K11" i="15"/>
  <c r="O14" i="10"/>
  <c r="K3" i="12"/>
  <c r="O18" i="9"/>
  <c r="F6" i="13"/>
  <c r="M10" i="6"/>
  <c r="H27" i="6"/>
  <c r="X13" i="9"/>
  <c r="K6" i="9"/>
  <c r="S22" i="9"/>
  <c r="C24" i="12"/>
  <c r="O9" i="9"/>
  <c r="S27" i="10"/>
  <c r="N9" i="9"/>
  <c r="N11" i="12"/>
  <c r="H27" i="10"/>
  <c r="R11" i="9"/>
  <c r="Q28" i="9"/>
  <c r="U10" i="13"/>
  <c r="L31" i="9"/>
  <c r="R19" i="10"/>
  <c r="K10" i="16"/>
  <c r="X31" i="13"/>
  <c r="Y2" i="12"/>
  <c r="H14" i="9"/>
  <c r="H12" i="6"/>
  <c r="G31" i="6"/>
  <c r="I11" i="13"/>
  <c r="J14" i="12"/>
  <c r="S7" i="9"/>
  <c r="O25" i="9"/>
  <c r="P26" i="9"/>
  <c r="X26" i="12"/>
  <c r="M24" i="10"/>
  <c r="J3" i="10"/>
  <c r="U11" i="6"/>
  <c r="C24" i="9"/>
  <c r="P15" i="12"/>
  <c r="O15" i="9"/>
  <c r="I25" i="9"/>
  <c r="R3" i="6"/>
  <c r="S19" i="13"/>
  <c r="C23" i="13"/>
  <c r="C15" i="15"/>
  <c r="C29" i="6"/>
  <c r="N21" i="9"/>
  <c r="M19" i="10"/>
  <c r="K27" i="9"/>
  <c r="I9" i="13"/>
  <c r="D17" i="10"/>
  <c r="H12" i="10"/>
  <c r="J12" i="15"/>
  <c r="X13" i="13"/>
  <c r="D20" i="10"/>
  <c r="O24" i="16"/>
  <c r="Q30" i="6"/>
  <c r="X3" i="10"/>
  <c r="V4" i="10"/>
  <c r="W19" i="9"/>
  <c r="I8" i="13"/>
  <c r="W15" i="10"/>
  <c r="S30" i="6"/>
  <c r="J23" i="9"/>
  <c r="J30" i="12"/>
  <c r="N11" i="15"/>
  <c r="L7" i="10"/>
  <c r="Q27" i="15"/>
  <c r="G18" i="10"/>
  <c r="E26" i="6"/>
  <c r="O16" i="12"/>
  <c r="I23" i="9"/>
  <c r="D9" i="9"/>
  <c r="X5" i="6"/>
  <c r="M3" i="10"/>
  <c r="J11" i="12"/>
  <c r="F3" i="15"/>
  <c r="X6" i="13"/>
  <c r="M21" i="10"/>
  <c r="R17" i="9"/>
  <c r="L8" i="9"/>
  <c r="P21" i="10"/>
  <c r="S7" i="10"/>
  <c r="H24" i="12"/>
  <c r="N19" i="15"/>
  <c r="T19" i="13"/>
  <c r="X28" i="9"/>
  <c r="V26" i="6"/>
  <c r="J27" i="9"/>
  <c r="M4" i="6"/>
  <c r="C31" i="12"/>
  <c r="E29" i="9"/>
  <c r="N21" i="10"/>
  <c r="X3" i="6"/>
  <c r="C23" i="9"/>
  <c r="X21" i="12"/>
  <c r="W20" i="12"/>
  <c r="U12" i="6"/>
  <c r="E17" i="9"/>
  <c r="N26" i="13"/>
  <c r="N7" i="12"/>
  <c r="N4" i="10"/>
  <c r="F6" i="9"/>
  <c r="Y27" i="12"/>
  <c r="Y21" i="9"/>
  <c r="Q6" i="6"/>
  <c r="C27" i="17"/>
  <c r="G20" i="6"/>
  <c r="U3" i="10"/>
  <c r="S14" i="10"/>
  <c r="P31" i="9"/>
  <c r="U12" i="9"/>
  <c r="C14" i="10"/>
  <c r="W4" i="12"/>
  <c r="S16" i="16"/>
  <c r="K30" i="17"/>
  <c r="W22" i="15"/>
  <c r="G27" i="6"/>
  <c r="Q27" i="16"/>
  <c r="W26" i="12"/>
  <c r="O4" i="17"/>
  <c r="D13" i="12"/>
  <c r="H22" i="13"/>
  <c r="R7" i="15"/>
  <c r="T26" i="16"/>
  <c r="T27" i="16"/>
  <c r="L8" i="6"/>
  <c r="U7" i="12"/>
  <c r="Q8" i="6"/>
  <c r="C14" i="9"/>
  <c r="I15" i="6"/>
  <c r="Y4" i="6"/>
  <c r="L17" i="9"/>
  <c r="R24" i="6"/>
  <c r="C4" i="6"/>
  <c r="K19" i="12"/>
  <c r="C7" i="15"/>
  <c r="L6" i="12"/>
  <c r="R3" i="13"/>
  <c r="U18" i="10"/>
  <c r="J6" i="6"/>
  <c r="R22" i="9"/>
  <c r="Y7" i="12"/>
  <c r="U26" i="15"/>
  <c r="M9" i="13"/>
  <c r="Y5" i="6"/>
  <c r="S25" i="10"/>
  <c r="Q14" i="9"/>
  <c r="Q4" i="10"/>
  <c r="H3" i="12"/>
  <c r="P16" i="16"/>
  <c r="V24" i="12"/>
  <c r="V18" i="10"/>
  <c r="S6" i="12"/>
  <c r="J10" i="12"/>
  <c r="W9" i="9"/>
  <c r="L29" i="6"/>
  <c r="M4" i="12"/>
  <c r="J12" i="13"/>
  <c r="T3" i="16"/>
  <c r="K28" i="10"/>
  <c r="E6" i="10"/>
  <c r="W6" i="12"/>
  <c r="W11" i="10"/>
  <c r="M31" i="10"/>
  <c r="D18" i="9"/>
  <c r="C28" i="17"/>
  <c r="J24" i="9"/>
  <c r="L4" i="13"/>
  <c r="K2" i="15"/>
  <c r="U15" i="15"/>
  <c r="R5" i="13"/>
  <c r="M6" i="10"/>
  <c r="M16" i="16"/>
  <c r="S8" i="15"/>
  <c r="S15" i="15"/>
  <c r="L26" i="13"/>
  <c r="Y8" i="12"/>
  <c r="H18" i="15"/>
  <c r="E11" i="10"/>
  <c r="N23" i="15"/>
  <c r="I20" i="13"/>
  <c r="D31" i="13"/>
  <c r="J25" i="16"/>
  <c r="H7" i="13"/>
  <c r="X28" i="12"/>
  <c r="F27" i="9"/>
  <c r="P30" i="13"/>
  <c r="P10" i="13"/>
  <c r="F7" i="9"/>
  <c r="W24" i="10"/>
  <c r="V19" i="15"/>
  <c r="O17" i="15"/>
  <c r="J12" i="10"/>
  <c r="D8" i="10"/>
  <c r="N2" i="12"/>
  <c r="O11" i="12"/>
  <c r="U5" i="10"/>
  <c r="D20" i="17"/>
  <c r="P10" i="12"/>
  <c r="L5" i="12"/>
  <c r="E19" i="13"/>
  <c r="G7" i="12"/>
  <c r="X18" i="13"/>
  <c r="Q6" i="9"/>
  <c r="I27" i="17"/>
  <c r="W18" i="17"/>
  <c r="E30" i="13"/>
  <c r="I23" i="6"/>
  <c r="J2" i="12"/>
  <c r="E30" i="12"/>
  <c r="V7" i="6"/>
  <c r="E28" i="13"/>
  <c r="W21" i="13"/>
  <c r="J3" i="12"/>
  <c r="W29" i="9"/>
  <c r="Q9" i="6"/>
  <c r="H6" i="9"/>
  <c r="E28" i="10"/>
  <c r="O4" i="10"/>
  <c r="C5" i="17"/>
  <c r="V5" i="13"/>
  <c r="F2" i="13"/>
  <c r="L30" i="6"/>
  <c r="Y5" i="9"/>
  <c r="L6" i="6"/>
  <c r="J25" i="13"/>
  <c r="K18" i="15"/>
  <c r="P2" i="13"/>
  <c r="U24" i="12"/>
  <c r="D29" i="12"/>
  <c r="N29" i="12"/>
  <c r="U29" i="10"/>
  <c r="J2" i="6"/>
  <c r="G3" i="16"/>
  <c r="E21" i="12"/>
  <c r="Q6" i="13"/>
  <c r="U24" i="9"/>
  <c r="I28" i="6"/>
  <c r="D17" i="13"/>
  <c r="C11" i="6"/>
  <c r="T18" i="13"/>
  <c r="F31" i="9"/>
  <c r="L4" i="15"/>
  <c r="T29" i="12"/>
  <c r="K31" i="6"/>
  <c r="P22" i="13"/>
  <c r="C8" i="9"/>
  <c r="X29" i="6"/>
  <c r="F6" i="6"/>
  <c r="G2" i="6"/>
  <c r="G14" i="17"/>
  <c r="K9" i="10"/>
  <c r="E29" i="17"/>
  <c r="K17" i="13"/>
  <c r="D26" i="15"/>
  <c r="U4" i="13"/>
  <c r="D25" i="13"/>
  <c r="L14" i="15"/>
  <c r="I19" i="16"/>
  <c r="O30" i="6"/>
  <c r="I22" i="10"/>
  <c r="J13" i="13"/>
  <c r="S9" i="15"/>
  <c r="U21" i="6"/>
  <c r="S8" i="6"/>
  <c r="G13" i="15"/>
  <c r="Y10" i="17"/>
  <c r="T9" i="13"/>
  <c r="J16" i="13"/>
  <c r="H25" i="13"/>
  <c r="O25" i="16"/>
  <c r="F23" i="15"/>
  <c r="O2" i="13"/>
  <c r="O26" i="15"/>
  <c r="L7" i="13"/>
  <c r="V12" i="10"/>
  <c r="C29" i="17"/>
  <c r="Q15" i="6"/>
  <c r="T5" i="12"/>
  <c r="C20" i="16"/>
  <c r="V4" i="13"/>
  <c r="X20" i="9"/>
  <c r="C25" i="10"/>
  <c r="V6" i="17"/>
  <c r="O28" i="13"/>
  <c r="J6" i="13"/>
  <c r="E26" i="9"/>
  <c r="R17" i="12"/>
  <c r="O17" i="16"/>
  <c r="R16" i="6"/>
  <c r="R26" i="12"/>
  <c r="Y9" i="6"/>
  <c r="W14" i="12"/>
  <c r="N5" i="12"/>
  <c r="Q4" i="9"/>
  <c r="P9" i="9"/>
  <c r="Y28" i="6"/>
  <c r="R14" i="9"/>
  <c r="W27" i="15"/>
  <c r="J28" i="12"/>
  <c r="L14" i="9"/>
  <c r="G17" i="16"/>
  <c r="F21" i="9"/>
  <c r="D15" i="12"/>
  <c r="U13" i="10"/>
  <c r="G21" i="10"/>
  <c r="O24" i="15"/>
  <c r="J24" i="6"/>
  <c r="X8" i="6"/>
  <c r="P9" i="6"/>
  <c r="Q20" i="12"/>
  <c r="S4" i="9"/>
  <c r="N24" i="9"/>
  <c r="X9" i="9"/>
  <c r="M6" i="6"/>
  <c r="T22" i="13"/>
  <c r="G13" i="16"/>
  <c r="H30" i="13"/>
  <c r="G29" i="12"/>
  <c r="V7" i="9"/>
  <c r="L31" i="15"/>
  <c r="K24" i="13"/>
  <c r="K22" i="13"/>
  <c r="I16" i="13"/>
  <c r="S15" i="10"/>
  <c r="S3" i="12"/>
  <c r="H25" i="12"/>
  <c r="X4" i="15"/>
  <c r="F5" i="15"/>
  <c r="K13" i="12"/>
  <c r="V6" i="15"/>
  <c r="L24" i="15"/>
  <c r="N12" i="15"/>
  <c r="T16" i="13"/>
  <c r="T5" i="10"/>
  <c r="W17" i="13"/>
  <c r="I31" i="12"/>
  <c r="I16" i="15"/>
  <c r="G5" i="13"/>
  <c r="T31" i="12"/>
  <c r="G3" i="6"/>
  <c r="F30" i="9"/>
  <c r="P28" i="12"/>
  <c r="G3" i="10"/>
  <c r="W23" i="13"/>
  <c r="W25" i="10"/>
  <c r="D23" i="9"/>
  <c r="S4" i="15"/>
  <c r="V7" i="13"/>
  <c r="O10" i="9"/>
  <c r="X14" i="12"/>
  <c r="M17" i="10"/>
  <c r="S9" i="13"/>
  <c r="L11" i="9"/>
  <c r="K29" i="9"/>
  <c r="I6" i="6"/>
  <c r="O21" i="6"/>
  <c r="G4" i="9"/>
  <c r="E21" i="9"/>
  <c r="T13" i="6"/>
  <c r="D30" i="6"/>
  <c r="J9" i="13"/>
  <c r="M25" i="13"/>
  <c r="X22" i="6"/>
  <c r="D15" i="15"/>
  <c r="P4" i="12"/>
  <c r="O14" i="12"/>
  <c r="O2" i="6"/>
  <c r="D29" i="6"/>
  <c r="C27" i="15"/>
  <c r="M21" i="6"/>
  <c r="V17" i="6"/>
  <c r="R3" i="12"/>
  <c r="K4" i="6"/>
  <c r="R30" i="6"/>
  <c r="I4" i="10"/>
  <c r="I8" i="9"/>
  <c r="F26" i="10"/>
  <c r="V28" i="6"/>
  <c r="P11" i="9"/>
  <c r="D11" i="9"/>
  <c r="C27" i="9"/>
  <c r="H11" i="6"/>
  <c r="N10" i="6"/>
  <c r="T2" i="6"/>
  <c r="W10" i="6"/>
  <c r="C20" i="12"/>
  <c r="W23" i="9"/>
  <c r="M13" i="13"/>
  <c r="L21" i="12"/>
  <c r="N19" i="12"/>
  <c r="M29" i="6"/>
  <c r="S5" i="13"/>
  <c r="Y3" i="13"/>
  <c r="C12" i="15"/>
  <c r="H28" i="12"/>
  <c r="H3" i="6"/>
  <c r="I24" i="6"/>
  <c r="X15" i="10"/>
  <c r="M12" i="13"/>
  <c r="F8" i="15"/>
  <c r="M27" i="10"/>
  <c r="H23" i="12"/>
  <c r="L31" i="12"/>
  <c r="G8" i="12"/>
  <c r="X13" i="6"/>
  <c r="F8" i="6"/>
  <c r="C19" i="10"/>
  <c r="R17" i="6"/>
  <c r="L21" i="10"/>
  <c r="G31" i="9"/>
  <c r="N16" i="6"/>
  <c r="X5" i="12"/>
  <c r="H10" i="6"/>
  <c r="Y11" i="13"/>
  <c r="P18" i="9"/>
  <c r="S2" i="6"/>
  <c r="N6" i="6"/>
  <c r="S3" i="10"/>
  <c r="H26" i="6"/>
  <c r="V13" i="12"/>
  <c r="M19" i="9"/>
  <c r="W12" i="13"/>
  <c r="D4" i="6"/>
  <c r="P30" i="12"/>
  <c r="D23" i="10"/>
  <c r="R29" i="9"/>
  <c r="R29" i="6"/>
  <c r="G2" i="9"/>
  <c r="J25" i="10"/>
  <c r="U27" i="6"/>
  <c r="T17" i="9"/>
  <c r="O11" i="6"/>
  <c r="X8" i="9"/>
  <c r="C23" i="10"/>
  <c r="C18" i="17"/>
  <c r="O9" i="12"/>
  <c r="C12" i="17"/>
  <c r="D4" i="13"/>
  <c r="O29" i="6"/>
  <c r="P7" i="10"/>
  <c r="D21" i="9"/>
  <c r="E21" i="10"/>
  <c r="Y15" i="9"/>
  <c r="H20" i="13"/>
  <c r="N3" i="9"/>
  <c r="W2" i="6"/>
  <c r="C24" i="17"/>
  <c r="Y29" i="12"/>
  <c r="T11" i="12"/>
  <c r="L2" i="9"/>
  <c r="Q7" i="10"/>
  <c r="E27" i="13"/>
  <c r="J4" i="12"/>
  <c r="H15" i="9"/>
  <c r="Q25" i="12"/>
  <c r="I31" i="6"/>
  <c r="U12" i="12"/>
  <c r="H5" i="10"/>
  <c r="O4" i="13"/>
  <c r="X19" i="13"/>
  <c r="M19" i="13"/>
  <c r="M26" i="9"/>
  <c r="I8" i="12"/>
  <c r="W25" i="6"/>
  <c r="N16" i="12"/>
  <c r="E10" i="12"/>
  <c r="K19" i="10"/>
  <c r="V8" i="15"/>
  <c r="U28" i="13"/>
  <c r="H18" i="10"/>
  <c r="C26" i="13"/>
  <c r="P18" i="13"/>
  <c r="J5" i="13"/>
  <c r="G16" i="6"/>
  <c r="T8" i="10"/>
  <c r="Y6" i="10"/>
  <c r="G27" i="15"/>
  <c r="K22" i="12"/>
  <c r="J20" i="10"/>
  <c r="L8" i="12"/>
  <c r="M26" i="13"/>
  <c r="C8" i="13"/>
  <c r="V12" i="12"/>
  <c r="Q29" i="9"/>
  <c r="H19" i="15"/>
  <c r="F25" i="12"/>
  <c r="T10" i="9"/>
  <c r="Y12" i="13"/>
  <c r="Y20" i="9"/>
  <c r="C20" i="10"/>
  <c r="I10" i="6"/>
  <c r="V29" i="9"/>
  <c r="N15" i="6"/>
  <c r="N15" i="12"/>
  <c r="P4" i="10"/>
  <c r="L27" i="10"/>
  <c r="N2" i="6"/>
  <c r="N6" i="10"/>
  <c r="M8" i="10"/>
  <c r="I9" i="9"/>
  <c r="U2" i="12"/>
  <c r="E18" i="9"/>
  <c r="Q9" i="9"/>
  <c r="E17" i="6"/>
  <c r="K11" i="6"/>
  <c r="L30" i="10"/>
  <c r="C29" i="10"/>
  <c r="U7" i="10"/>
  <c r="F13" i="9"/>
  <c r="H22" i="9"/>
  <c r="N8" i="9"/>
  <c r="F12" i="6"/>
  <c r="E26" i="10"/>
  <c r="N16" i="9"/>
  <c r="E30" i="6"/>
  <c r="G6" i="15"/>
  <c r="F14" i="17"/>
  <c r="K29" i="6"/>
  <c r="P21" i="12"/>
  <c r="F6" i="10"/>
  <c r="W26" i="13"/>
  <c r="Y10" i="15"/>
  <c r="F7" i="12"/>
  <c r="I9" i="15"/>
  <c r="O24" i="10"/>
  <c r="X4" i="13"/>
  <c r="L12" i="10"/>
  <c r="G10" i="6"/>
  <c r="P10" i="16"/>
  <c r="Q6" i="12"/>
  <c r="Y31" i="16"/>
  <c r="J20" i="16"/>
  <c r="S19" i="16"/>
  <c r="T19" i="15"/>
  <c r="V11" i="12"/>
  <c r="P24" i="16"/>
  <c r="D14" i="13"/>
  <c r="J12" i="6"/>
  <c r="Q8" i="9"/>
  <c r="M11" i="10"/>
  <c r="L18" i="15"/>
  <c r="S11" i="15"/>
  <c r="S3" i="9"/>
  <c r="N29" i="10"/>
  <c r="L15" i="12"/>
  <c r="C21" i="9"/>
  <c r="L11" i="6"/>
  <c r="F31" i="6"/>
  <c r="T2" i="13"/>
  <c r="V23" i="12"/>
  <c r="K20" i="12"/>
  <c r="X29" i="10"/>
  <c r="P26" i="6"/>
  <c r="C3" i="15"/>
  <c r="L10" i="10"/>
  <c r="J7" i="10"/>
  <c r="J21" i="6"/>
  <c r="G25" i="9"/>
  <c r="C22" i="16"/>
  <c r="N11" i="9"/>
  <c r="E24" i="13"/>
  <c r="U24" i="10"/>
  <c r="D10" i="6"/>
  <c r="J20" i="9"/>
  <c r="J8" i="10"/>
  <c r="Y19" i="9"/>
  <c r="G28" i="9"/>
  <c r="N18" i="13"/>
  <c r="H21" i="13"/>
  <c r="R20" i="6"/>
  <c r="S29" i="6"/>
  <c r="D22" i="10"/>
  <c r="C26" i="17"/>
  <c r="V9" i="6"/>
  <c r="I27" i="12"/>
  <c r="E16" i="12"/>
  <c r="P30" i="10"/>
  <c r="N31" i="9"/>
  <c r="X17" i="10"/>
  <c r="G6" i="12"/>
  <c r="R12" i="6"/>
  <c r="N14" i="6"/>
  <c r="K8" i="12"/>
  <c r="W21" i="9"/>
  <c r="I20" i="10"/>
  <c r="R16" i="10"/>
  <c r="H29" i="6"/>
  <c r="P11" i="6"/>
  <c r="Y14" i="6"/>
  <c r="P27" i="13"/>
  <c r="R8" i="12"/>
  <c r="Y12" i="9"/>
  <c r="Y19" i="6"/>
  <c r="S2" i="13"/>
  <c r="P2" i="6"/>
  <c r="G29" i="6"/>
  <c r="Q11" i="12"/>
  <c r="M25" i="12"/>
  <c r="T13" i="9"/>
  <c r="F28" i="13"/>
  <c r="G18" i="6"/>
  <c r="K26" i="13"/>
  <c r="G22" i="12"/>
  <c r="V11" i="10"/>
  <c r="W12" i="12"/>
  <c r="K16" i="12"/>
  <c r="J19" i="12"/>
  <c r="H5" i="9"/>
  <c r="V30" i="10"/>
  <c r="J28" i="13"/>
  <c r="D7" i="12"/>
  <c r="J31" i="9"/>
  <c r="O5" i="10"/>
  <c r="S25" i="6"/>
  <c r="K5" i="12"/>
  <c r="L17" i="6"/>
  <c r="T29" i="10"/>
  <c r="U9" i="13"/>
  <c r="C13" i="12"/>
  <c r="T11" i="10"/>
  <c r="Y6" i="9"/>
  <c r="K14" i="12"/>
  <c r="R2" i="12"/>
  <c r="Q18" i="9"/>
  <c r="Q15" i="9"/>
  <c r="V11" i="6"/>
  <c r="K10" i="9"/>
  <c r="E20" i="6"/>
  <c r="C4" i="16"/>
  <c r="F22" i="9"/>
  <c r="C18" i="13"/>
  <c r="S4" i="12"/>
  <c r="Y22" i="9"/>
  <c r="F31" i="10"/>
  <c r="T20" i="12"/>
  <c r="R21" i="9"/>
  <c r="D24" i="9"/>
  <c r="N7" i="9"/>
  <c r="P14" i="10"/>
  <c r="F28" i="9"/>
  <c r="W22" i="6"/>
  <c r="O8" i="9"/>
  <c r="O23" i="10"/>
  <c r="C8" i="16"/>
  <c r="J5" i="6"/>
  <c r="S9" i="9"/>
  <c r="P19" i="10"/>
  <c r="P20" i="10"/>
  <c r="M7" i="12"/>
  <c r="S3" i="6"/>
  <c r="U20" i="9"/>
  <c r="R6" i="12"/>
  <c r="Y10" i="13"/>
  <c r="P29" i="12"/>
  <c r="D18" i="10"/>
  <c r="V2" i="6"/>
  <c r="V15" i="6"/>
  <c r="Y16" i="12"/>
  <c r="S20" i="13"/>
  <c r="Y3" i="9"/>
  <c r="Y17" i="10"/>
  <c r="K6" i="10"/>
  <c r="O8" i="10"/>
  <c r="F4" i="6"/>
  <c r="Y28" i="12"/>
  <c r="C4" i="10"/>
  <c r="O20" i="10"/>
  <c r="H3" i="9"/>
  <c r="U27" i="13"/>
  <c r="W28" i="6"/>
  <c r="S12" i="12"/>
  <c r="Y24" i="12"/>
  <c r="T31" i="10"/>
  <c r="Q22" i="6"/>
  <c r="G15" i="12"/>
  <c r="T28" i="10"/>
  <c r="N13" i="13"/>
  <c r="C5" i="10"/>
  <c r="U14" i="10"/>
  <c r="V20" i="6"/>
  <c r="W29" i="10"/>
  <c r="M9" i="6"/>
  <c r="Q27" i="6"/>
  <c r="P31" i="10"/>
  <c r="O13" i="9"/>
  <c r="R2" i="10"/>
  <c r="C23" i="18"/>
  <c r="C5" i="18"/>
  <c r="C27" i="18"/>
  <c r="R9" i="10"/>
  <c r="X9" i="13"/>
  <c r="F5" i="13"/>
  <c r="E5" i="9"/>
  <c r="Q17" i="12"/>
  <c r="G20" i="10"/>
  <c r="S17" i="12"/>
  <c r="S16" i="10"/>
  <c r="X12" i="9"/>
  <c r="S7" i="6"/>
  <c r="C21" i="16"/>
  <c r="I12" i="6"/>
  <c r="U23" i="6"/>
  <c r="X10" i="6"/>
  <c r="D3" i="9"/>
  <c r="N22" i="10"/>
  <c r="T16" i="12"/>
  <c r="E24" i="9"/>
  <c r="C10" i="16"/>
  <c r="G20" i="9"/>
  <c r="D5" i="9"/>
  <c r="X21" i="9"/>
  <c r="Y21" i="12"/>
  <c r="C2" i="18"/>
  <c r="C28" i="18"/>
  <c r="C19" i="18"/>
  <c r="F22" i="10"/>
  <c r="P20" i="9"/>
  <c r="V24" i="9"/>
  <c r="G21" i="12"/>
  <c r="K22" i="10"/>
  <c r="X11" i="13"/>
  <c r="F4" i="16"/>
  <c r="R11" i="6"/>
  <c r="K28" i="9"/>
  <c r="C6" i="12"/>
  <c r="E28" i="6"/>
  <c r="I15" i="9"/>
  <c r="C22" i="15"/>
  <c r="K4" i="10"/>
  <c r="O13" i="6"/>
  <c r="X4" i="10"/>
  <c r="C2" i="11"/>
  <c r="R10" i="6"/>
  <c r="G27" i="9"/>
  <c r="W7" i="9"/>
  <c r="D22" i="9"/>
  <c r="K12" i="6"/>
  <c r="W23" i="12"/>
  <c r="D3" i="10"/>
  <c r="C27" i="10"/>
  <c r="J3" i="9"/>
  <c r="H30" i="12"/>
  <c r="C9" i="12"/>
  <c r="C31" i="16"/>
  <c r="H19" i="10"/>
  <c r="H20" i="10"/>
  <c r="C27" i="16"/>
  <c r="X22" i="9"/>
  <c r="L29" i="10"/>
  <c r="C8" i="18"/>
  <c r="C11" i="18"/>
  <c r="S5" i="10"/>
  <c r="H14" i="10"/>
  <c r="Q18" i="15"/>
  <c r="Y4" i="9"/>
  <c r="C5" i="9"/>
  <c r="X30" i="13"/>
  <c r="D27" i="10"/>
  <c r="C8" i="17"/>
  <c r="U15" i="10"/>
  <c r="R19" i="12"/>
  <c r="K30" i="13"/>
  <c r="E7" i="6"/>
  <c r="L16" i="13"/>
  <c r="F28" i="10"/>
  <c r="F16" i="6"/>
  <c r="J13" i="10"/>
  <c r="G24" i="10"/>
  <c r="G12" i="15"/>
  <c r="T12" i="9"/>
  <c r="O22" i="12"/>
  <c r="S10" i="9"/>
  <c r="P5" i="13"/>
  <c r="Q21" i="9"/>
  <c r="Y3" i="12"/>
  <c r="X13" i="10"/>
  <c r="H13" i="9"/>
  <c r="C11" i="17"/>
  <c r="N3" i="10"/>
  <c r="H28" i="6"/>
  <c r="V9" i="12"/>
  <c r="H6" i="6"/>
  <c r="E18" i="13"/>
  <c r="H2" i="9"/>
  <c r="P19" i="6"/>
  <c r="Q12" i="10"/>
  <c r="R13" i="10"/>
  <c r="Q19" i="6"/>
  <c r="N26" i="9"/>
  <c r="P16" i="6"/>
  <c r="E22" i="10"/>
  <c r="Q25" i="9"/>
  <c r="J20" i="6"/>
  <c r="L15" i="9"/>
  <c r="C24" i="6"/>
  <c r="E8" i="10"/>
  <c r="F25" i="9"/>
  <c r="C12" i="18"/>
  <c r="M4" i="13"/>
  <c r="P15" i="10"/>
  <c r="V6" i="9"/>
  <c r="T3" i="6"/>
  <c r="H23" i="10"/>
  <c r="X28" i="10"/>
  <c r="X5" i="13"/>
  <c r="S12" i="10"/>
  <c r="F16" i="13"/>
  <c r="H2" i="10"/>
  <c r="W18" i="10"/>
  <c r="S4" i="6"/>
  <c r="W20" i="9"/>
  <c r="E11" i="6"/>
  <c r="C12" i="9"/>
  <c r="X26" i="10"/>
  <c r="U18" i="13"/>
  <c r="U27" i="10"/>
  <c r="H21" i="12"/>
  <c r="C15" i="17"/>
  <c r="S30" i="10"/>
  <c r="Y7" i="6"/>
  <c r="Y25" i="16"/>
  <c r="O25" i="13"/>
  <c r="S6" i="9"/>
  <c r="C26" i="9"/>
  <c r="C5" i="15"/>
  <c r="C3" i="13"/>
  <c r="V25" i="9"/>
  <c r="R18" i="6"/>
  <c r="I5" i="10"/>
  <c r="P29" i="10"/>
  <c r="O11" i="10"/>
  <c r="I15" i="10"/>
  <c r="V19" i="9"/>
  <c r="Y5" i="15"/>
  <c r="V23" i="16"/>
  <c r="R12" i="15"/>
  <c r="J23" i="16"/>
  <c r="G3" i="12"/>
  <c r="G22" i="16"/>
  <c r="I27" i="13"/>
  <c r="M30" i="15"/>
  <c r="G7" i="9"/>
  <c r="T12" i="6"/>
  <c r="H30" i="6"/>
  <c r="P24" i="10"/>
  <c r="R14" i="15"/>
  <c r="G28" i="10"/>
  <c r="L14" i="13"/>
  <c r="P8" i="9"/>
  <c r="D6" i="12"/>
  <c r="C22" i="17"/>
  <c r="J28" i="10"/>
  <c r="J16" i="10"/>
  <c r="R24" i="13"/>
  <c r="E14" i="9"/>
  <c r="S13" i="10"/>
  <c r="G23" i="10"/>
  <c r="F8" i="9"/>
  <c r="W21" i="10"/>
  <c r="C9" i="9"/>
  <c r="Q29" i="13"/>
  <c r="W27" i="6"/>
  <c r="T12" i="12"/>
  <c r="U19" i="6"/>
  <c r="G27" i="12"/>
  <c r="N17" i="9"/>
  <c r="O4" i="6"/>
  <c r="G30" i="9"/>
  <c r="I3" i="6"/>
  <c r="C13" i="16"/>
  <c r="Y31" i="9"/>
  <c r="I10" i="9"/>
  <c r="Q30" i="16"/>
  <c r="D12" i="10"/>
  <c r="M6" i="9"/>
  <c r="U18" i="6"/>
  <c r="S18" i="6"/>
  <c r="T6" i="12"/>
  <c r="Q17" i="6"/>
  <c r="W5" i="6"/>
  <c r="Q16" i="10"/>
  <c r="U20" i="10"/>
  <c r="S25" i="9"/>
  <c r="U20" i="12"/>
  <c r="F7" i="10"/>
  <c r="D4" i="12"/>
  <c r="C15" i="16"/>
  <c r="E31" i="6"/>
  <c r="G9" i="6"/>
  <c r="I19" i="10"/>
  <c r="C29" i="9"/>
  <c r="T22" i="12"/>
  <c r="O5" i="6"/>
  <c r="S26" i="6"/>
  <c r="X27" i="12"/>
  <c r="X20" i="6"/>
  <c r="N12" i="13"/>
  <c r="Q8" i="12"/>
  <c r="M31" i="13"/>
  <c r="Y8" i="9"/>
  <c r="T22" i="10"/>
  <c r="F27" i="6"/>
  <c r="H26" i="13"/>
  <c r="H25" i="9"/>
  <c r="L29" i="9"/>
  <c r="M11" i="9"/>
  <c r="U13" i="13"/>
  <c r="J11" i="13"/>
  <c r="N25" i="9"/>
  <c r="F23" i="6"/>
  <c r="R21" i="13"/>
  <c r="S18" i="12"/>
  <c r="H7" i="10"/>
  <c r="U24" i="6"/>
  <c r="S4" i="13"/>
  <c r="U9" i="9"/>
  <c r="W14" i="10"/>
  <c r="C6" i="17"/>
  <c r="F10" i="10"/>
  <c r="O2" i="9"/>
  <c r="R22" i="10"/>
  <c r="D9" i="12"/>
  <c r="O5" i="9"/>
  <c r="N28" i="10"/>
  <c r="O17" i="9"/>
  <c r="S23" i="6"/>
  <c r="L9" i="6"/>
  <c r="K14" i="9"/>
  <c r="L5" i="10"/>
  <c r="C6" i="15"/>
  <c r="F8" i="10"/>
  <c r="R20" i="12"/>
  <c r="L23" i="9"/>
  <c r="G5" i="10"/>
  <c r="M15" i="12"/>
  <c r="H9" i="10"/>
  <c r="C22" i="6"/>
  <c r="C22" i="10"/>
  <c r="V26" i="12"/>
  <c r="H2" i="6"/>
  <c r="S14" i="9"/>
  <c r="Q31" i="6"/>
  <c r="V13" i="10"/>
  <c r="T14" i="6"/>
  <c r="Q26" i="12"/>
  <c r="C10" i="17"/>
  <c r="D17" i="6"/>
  <c r="T23" i="10"/>
  <c r="Q26" i="6"/>
  <c r="N22" i="6"/>
  <c r="C17" i="13"/>
  <c r="F4" i="10"/>
  <c r="Q5" i="10"/>
  <c r="M7" i="6"/>
  <c r="R12" i="13"/>
  <c r="O10" i="6"/>
  <c r="E7" i="9"/>
  <c r="U19" i="9"/>
  <c r="W3" i="10"/>
  <c r="O29" i="12"/>
  <c r="F7" i="6"/>
  <c r="X12" i="10"/>
  <c r="H9" i="12"/>
  <c r="K20" i="13"/>
  <c r="C11" i="9"/>
  <c r="S2" i="10"/>
  <c r="X18" i="9"/>
  <c r="C16" i="18"/>
  <c r="S6" i="13"/>
  <c r="Y14" i="12"/>
  <c r="T20" i="6"/>
  <c r="F14" i="12"/>
  <c r="T8" i="9"/>
  <c r="N24" i="13"/>
  <c r="R23" i="16"/>
  <c r="M24" i="15"/>
  <c r="X21" i="6"/>
  <c r="Q27" i="10"/>
  <c r="U4" i="6"/>
  <c r="E17" i="12"/>
  <c r="U23" i="16"/>
  <c r="R9" i="6"/>
  <c r="T7" i="9"/>
  <c r="C14" i="12"/>
  <c r="M24" i="6"/>
  <c r="L4" i="12"/>
  <c r="Q18" i="12"/>
  <c r="D13" i="6"/>
  <c r="J15" i="6"/>
  <c r="C25" i="17"/>
  <c r="M28" i="10"/>
  <c r="V15" i="9"/>
  <c r="Y17" i="9"/>
  <c r="F30" i="10"/>
  <c r="N30" i="12"/>
  <c r="H15" i="6"/>
  <c r="E10" i="9"/>
  <c r="W6" i="9"/>
  <c r="D7" i="10"/>
  <c r="H8" i="6"/>
  <c r="C31" i="13"/>
  <c r="P7" i="6"/>
  <c r="I11" i="6"/>
  <c r="T26" i="6"/>
  <c r="G11" i="6"/>
  <c r="H17" i="6"/>
  <c r="K25" i="6"/>
  <c r="C30" i="16"/>
  <c r="S30" i="12"/>
  <c r="K16" i="10"/>
  <c r="C20" i="18"/>
  <c r="M15" i="13"/>
  <c r="R6" i="10"/>
  <c r="M16" i="10"/>
  <c r="C5" i="13"/>
  <c r="C31" i="9"/>
  <c r="K7" i="9"/>
  <c r="D19" i="12"/>
  <c r="C26" i="6"/>
  <c r="L26" i="10"/>
  <c r="X16" i="9"/>
  <c r="D28" i="9"/>
  <c r="S18" i="15"/>
  <c r="V14" i="12"/>
  <c r="J25" i="12"/>
  <c r="D28" i="6"/>
  <c r="M21" i="9"/>
  <c r="V20" i="10"/>
  <c r="H21" i="10"/>
  <c r="I19" i="6"/>
  <c r="P12" i="6"/>
  <c r="V22" i="10"/>
  <c r="M2" i="12"/>
  <c r="P5" i="9"/>
  <c r="C14" i="13"/>
  <c r="T21" i="6"/>
  <c r="H25" i="6"/>
  <c r="V4" i="6"/>
  <c r="C4" i="17"/>
  <c r="L28" i="6"/>
  <c r="F19" i="10"/>
  <c r="Y8" i="10"/>
  <c r="E22" i="9"/>
  <c r="D17" i="12"/>
  <c r="C20" i="15"/>
  <c r="V21" i="10"/>
  <c r="E11" i="12"/>
  <c r="F9" i="9"/>
  <c r="X28" i="6"/>
  <c r="H4" i="10"/>
  <c r="G30" i="10"/>
  <c r="T30" i="6"/>
  <c r="H13" i="6"/>
  <c r="H20" i="6"/>
  <c r="N5" i="6"/>
  <c r="C18" i="18"/>
  <c r="F11" i="9"/>
  <c r="Q20" i="10"/>
  <c r="L19" i="6"/>
  <c r="C7" i="10"/>
  <c r="R3" i="10"/>
  <c r="I19" i="12"/>
  <c r="V19" i="10"/>
  <c r="M23" i="6"/>
  <c r="I14" i="12"/>
  <c r="T3" i="13"/>
  <c r="D25" i="6"/>
  <c r="O31" i="6"/>
  <c r="C26" i="16"/>
  <c r="O12" i="10"/>
  <c r="L31" i="10"/>
  <c r="R21" i="12"/>
  <c r="R25" i="12"/>
  <c r="K23" i="10"/>
  <c r="Y9" i="10"/>
  <c r="D31" i="12"/>
  <c r="O4" i="16"/>
  <c r="O25" i="12"/>
  <c r="K13" i="6"/>
  <c r="J29" i="10"/>
  <c r="F20" i="12"/>
  <c r="G29" i="10"/>
  <c r="F14" i="9"/>
  <c r="R11" i="12"/>
  <c r="G26" i="12"/>
  <c r="G23" i="13"/>
  <c r="L3" i="9"/>
  <c r="J8" i="9"/>
  <c r="D23" i="13"/>
  <c r="E15" i="13"/>
  <c r="P14" i="12"/>
  <c r="H4" i="17"/>
  <c r="K25" i="13"/>
  <c r="Y30" i="12"/>
  <c r="E24" i="10"/>
  <c r="K4" i="13"/>
  <c r="L2" i="13"/>
  <c r="P5" i="10"/>
  <c r="R5" i="12"/>
  <c r="N23" i="10"/>
  <c r="N31" i="13"/>
  <c r="V15" i="12"/>
  <c r="M20" i="10"/>
  <c r="V16" i="10"/>
  <c r="C19" i="6"/>
  <c r="D19" i="9"/>
  <c r="F11" i="10"/>
  <c r="Q2" i="13"/>
  <c r="V20" i="12"/>
  <c r="X6" i="6"/>
  <c r="V27" i="10"/>
  <c r="C15" i="13"/>
  <c r="I22" i="6"/>
  <c r="Q10" i="6"/>
  <c r="M16" i="13"/>
  <c r="P27" i="6"/>
  <c r="Q16" i="12"/>
  <c r="Q23" i="6"/>
  <c r="G17" i="9"/>
  <c r="C16" i="13"/>
  <c r="Y8" i="6"/>
  <c r="R4" i="10"/>
  <c r="C3" i="17"/>
  <c r="V3" i="6"/>
  <c r="H21" i="6"/>
  <c r="S31" i="12"/>
  <c r="P28" i="10"/>
  <c r="G9" i="13"/>
  <c r="L25" i="10"/>
  <c r="X28" i="13"/>
  <c r="V17" i="10"/>
  <c r="L23" i="6"/>
  <c r="E9" i="9"/>
  <c r="C26" i="10"/>
  <c r="L15" i="6"/>
  <c r="T27" i="15"/>
  <c r="E5" i="13"/>
  <c r="C16" i="12"/>
  <c r="Q18" i="6"/>
  <c r="S8" i="10"/>
  <c r="V6" i="12"/>
  <c r="S4" i="10"/>
  <c r="Y26" i="12"/>
  <c r="P18" i="10"/>
  <c r="Q21" i="10"/>
  <c r="F27" i="12"/>
  <c r="D8" i="9"/>
  <c r="X26" i="9"/>
  <c r="Y10" i="6"/>
  <c r="I23" i="13"/>
  <c r="Q13" i="6"/>
  <c r="M23" i="10"/>
  <c r="I25" i="12"/>
  <c r="N12" i="6"/>
  <c r="J19" i="9"/>
  <c r="S22" i="6"/>
  <c r="X13" i="12"/>
  <c r="P23" i="10"/>
  <c r="Q13" i="12"/>
  <c r="R13" i="6"/>
  <c r="R28" i="13"/>
  <c r="X19" i="10"/>
  <c r="W28" i="9"/>
  <c r="T17" i="6"/>
  <c r="V9" i="9"/>
  <c r="D6" i="10"/>
  <c r="W23" i="10"/>
  <c r="W3" i="12"/>
  <c r="Y28" i="13"/>
  <c r="C26" i="18"/>
  <c r="Y17" i="6"/>
  <c r="N16" i="10"/>
  <c r="D15" i="10"/>
  <c r="V25" i="6"/>
  <c r="Q29" i="6"/>
  <c r="X21" i="10"/>
  <c r="F13" i="10"/>
  <c r="Q2" i="6"/>
  <c r="J14" i="10"/>
  <c r="K9" i="9"/>
  <c r="C22" i="9"/>
  <c r="L4" i="6"/>
  <c r="U26" i="9"/>
  <c r="C5" i="16"/>
  <c r="T19" i="10"/>
  <c r="W30" i="13"/>
  <c r="C16" i="9"/>
  <c r="U21" i="12"/>
  <c r="T17" i="13"/>
  <c r="M5" i="10"/>
  <c r="L27" i="13"/>
  <c r="U6" i="9"/>
  <c r="Y11" i="9"/>
  <c r="J13" i="12"/>
  <c r="F5" i="9"/>
  <c r="U15" i="6"/>
  <c r="Y27" i="6"/>
  <c r="P9" i="12"/>
  <c r="P6" i="6"/>
  <c r="V31" i="6"/>
  <c r="J8" i="6"/>
  <c r="F19" i="9"/>
  <c r="T23" i="6"/>
  <c r="V10" i="6"/>
  <c r="X30" i="10"/>
  <c r="U25" i="10"/>
  <c r="U27" i="12"/>
  <c r="P22" i="12"/>
  <c r="M13" i="10"/>
  <c r="I3" i="9"/>
  <c r="E14" i="6"/>
  <c r="I7" i="12"/>
  <c r="N15" i="10"/>
  <c r="Y16" i="9"/>
  <c r="K10" i="12"/>
  <c r="S26" i="10"/>
  <c r="C8" i="10"/>
  <c r="P9" i="10"/>
  <c r="C3" i="18"/>
  <c r="V12" i="9"/>
  <c r="F20" i="10"/>
  <c r="M17" i="13"/>
  <c r="C28" i="13"/>
  <c r="D20" i="9"/>
  <c r="L19" i="9"/>
  <c r="T7" i="13"/>
  <c r="H8" i="13"/>
  <c r="L20" i="13"/>
  <c r="H29" i="9"/>
  <c r="P20" i="12"/>
  <c r="G8" i="9"/>
  <c r="L16" i="6"/>
  <c r="G7" i="6"/>
  <c r="T28" i="6"/>
  <c r="C30" i="9"/>
  <c r="G14" i="12"/>
  <c r="D25" i="10"/>
  <c r="F21" i="12"/>
  <c r="H10" i="9"/>
  <c r="H11" i="9"/>
  <c r="X24" i="10"/>
  <c r="H23" i="16"/>
  <c r="R17" i="10"/>
  <c r="V19" i="6"/>
  <c r="L24" i="9"/>
  <c r="Q19" i="13"/>
  <c r="Q11" i="9"/>
  <c r="O21" i="9"/>
  <c r="L13" i="6"/>
  <c r="S23" i="9"/>
  <c r="J20" i="13"/>
  <c r="Y3" i="6"/>
  <c r="M14" i="6"/>
  <c r="V27" i="12"/>
  <c r="U18" i="15"/>
  <c r="T11" i="16"/>
  <c r="R4" i="15"/>
  <c r="P18" i="12"/>
  <c r="L24" i="12"/>
  <c r="W17" i="12"/>
  <c r="J3" i="13"/>
  <c r="Q24" i="12"/>
  <c r="X3" i="9"/>
  <c r="V22" i="13"/>
  <c r="Y18" i="10"/>
  <c r="Q24" i="9"/>
  <c r="X16" i="6"/>
  <c r="P7" i="12"/>
  <c r="H15" i="12"/>
  <c r="G22" i="10"/>
  <c r="R10" i="12"/>
  <c r="W10" i="10"/>
  <c r="L30" i="13"/>
  <c r="M10" i="10"/>
  <c r="U5" i="6"/>
  <c r="M5" i="6"/>
  <c r="E15" i="10"/>
  <c r="Q25" i="6"/>
  <c r="W3" i="13"/>
  <c r="M14" i="13"/>
  <c r="T11" i="15"/>
  <c r="G11" i="13"/>
  <c r="M15" i="15"/>
  <c r="N8" i="13"/>
  <c r="L16" i="15"/>
  <c r="T25" i="12"/>
  <c r="U28" i="12"/>
  <c r="L18" i="12"/>
  <c r="P11" i="12"/>
  <c r="J30" i="13"/>
  <c r="O3" i="9"/>
  <c r="Y3" i="10"/>
  <c r="M30" i="10"/>
  <c r="E19" i="12"/>
  <c r="J4" i="10"/>
  <c r="R20" i="9"/>
  <c r="W22" i="13"/>
  <c r="Y25" i="6"/>
  <c r="L12" i="9"/>
  <c r="G19" i="13"/>
  <c r="K19" i="13"/>
  <c r="T26" i="13"/>
  <c r="Q27" i="9"/>
  <c r="O16" i="6"/>
  <c r="S11" i="12"/>
  <c r="U16" i="9"/>
  <c r="H7" i="6"/>
  <c r="V26" i="9"/>
  <c r="F30" i="12"/>
  <c r="E11" i="13"/>
  <c r="X30" i="12"/>
  <c r="C6" i="16"/>
  <c r="S14" i="12"/>
  <c r="G7" i="10"/>
  <c r="D15" i="6"/>
  <c r="V14" i="6"/>
  <c r="T22" i="9"/>
  <c r="H16" i="6"/>
  <c r="I18" i="15"/>
  <c r="Q21" i="13"/>
  <c r="O23" i="12"/>
  <c r="L12" i="6"/>
  <c r="K23" i="6"/>
  <c r="R27" i="9"/>
  <c r="M29" i="9"/>
  <c r="H4" i="16"/>
  <c r="W7" i="10"/>
  <c r="I10" i="12"/>
  <c r="Y22" i="6"/>
  <c r="R9" i="13"/>
  <c r="D10" i="13"/>
  <c r="F8" i="13"/>
  <c r="I21" i="15"/>
  <c r="J24" i="10"/>
  <c r="X8" i="13"/>
  <c r="W31" i="12"/>
  <c r="E22" i="6"/>
  <c r="W11" i="13"/>
  <c r="X31" i="9"/>
  <c r="F13" i="13"/>
  <c r="L6" i="13"/>
  <c r="V18" i="13"/>
  <c r="I30" i="12"/>
  <c r="S28" i="13"/>
  <c r="H13" i="12"/>
  <c r="Y27" i="10"/>
  <c r="R15" i="13"/>
  <c r="C3" i="9"/>
  <c r="X11" i="15"/>
  <c r="P4" i="9"/>
  <c r="E2" i="10"/>
  <c r="P30" i="9"/>
  <c r="M11" i="12"/>
  <c r="E30" i="10"/>
  <c r="O12" i="13"/>
  <c r="Y16" i="6"/>
  <c r="W4" i="10"/>
  <c r="F26" i="13"/>
  <c r="N26" i="15"/>
  <c r="H20" i="12"/>
  <c r="V8" i="6"/>
  <c r="N16" i="13"/>
  <c r="C30" i="10"/>
  <c r="M19" i="12"/>
  <c r="E17" i="10"/>
  <c r="H5" i="12"/>
  <c r="J12" i="9"/>
  <c r="M13" i="6"/>
  <c r="V18" i="12"/>
  <c r="O18" i="6"/>
  <c r="J23" i="12"/>
  <c r="T2" i="10"/>
  <c r="C9" i="10"/>
  <c r="F26" i="6"/>
  <c r="G17" i="10"/>
  <c r="K21" i="13"/>
  <c r="Y9" i="13"/>
  <c r="F23" i="13"/>
  <c r="M22" i="6"/>
  <c r="D25" i="9"/>
  <c r="P13" i="13"/>
  <c r="W15" i="6"/>
  <c r="H28" i="13"/>
  <c r="C18" i="10"/>
  <c r="C10" i="6"/>
  <c r="H17" i="9"/>
  <c r="I30" i="16"/>
  <c r="H9" i="6"/>
  <c r="J18" i="12"/>
  <c r="V3" i="15"/>
  <c r="M24" i="9"/>
  <c r="S19" i="6"/>
  <c r="Y13" i="12"/>
  <c r="J27" i="12"/>
  <c r="Q5" i="13"/>
  <c r="O17" i="10"/>
  <c r="C19" i="15"/>
  <c r="U24" i="13"/>
  <c r="S28" i="9"/>
  <c r="P26" i="12"/>
  <c r="F31" i="12"/>
  <c r="E9" i="15"/>
  <c r="L17" i="13"/>
  <c r="N31" i="15"/>
  <c r="K29" i="10"/>
  <c r="I18" i="13"/>
  <c r="G15" i="13"/>
  <c r="X6" i="12"/>
  <c r="I29" i="15"/>
  <c r="M15" i="10"/>
  <c r="W6" i="10"/>
  <c r="J11" i="10"/>
  <c r="U25" i="6"/>
  <c r="F29" i="10"/>
  <c r="U30" i="9"/>
  <c r="S27" i="13"/>
  <c r="Q26" i="10"/>
  <c r="R6" i="6"/>
  <c r="U31" i="13"/>
  <c r="S15" i="12"/>
  <c r="L25" i="12"/>
  <c r="X4" i="6"/>
  <c r="O20" i="6"/>
  <c r="Q21" i="12"/>
  <c r="X19" i="6"/>
  <c r="O9" i="6"/>
  <c r="T29" i="6"/>
  <c r="V2" i="13"/>
  <c r="C31" i="10"/>
  <c r="G10" i="10"/>
  <c r="D31" i="6"/>
  <c r="P20" i="13"/>
  <c r="M8" i="13"/>
  <c r="V3" i="9"/>
  <c r="J22" i="6"/>
  <c r="J7" i="9"/>
  <c r="L16" i="10"/>
  <c r="K12" i="15"/>
  <c r="R4" i="12"/>
  <c r="S24" i="10"/>
  <c r="Q10" i="12"/>
  <c r="C10" i="13"/>
  <c r="X29" i="9"/>
  <c r="C8" i="15"/>
  <c r="Q11" i="10"/>
  <c r="I28" i="10"/>
  <c r="Q9" i="13"/>
  <c r="T15" i="13"/>
  <c r="W18" i="6"/>
  <c r="Q29" i="10"/>
  <c r="W2" i="9"/>
  <c r="N17" i="6"/>
  <c r="E4" i="13"/>
  <c r="S27" i="12"/>
  <c r="F17" i="12"/>
  <c r="J16" i="12"/>
  <c r="Y14" i="13"/>
  <c r="D2" i="6"/>
  <c r="D5" i="12"/>
  <c r="D9" i="13"/>
  <c r="J26" i="6"/>
  <c r="L10" i="13"/>
  <c r="D13" i="9"/>
  <c r="U28" i="15"/>
  <c r="H14" i="17"/>
  <c r="S24" i="15"/>
  <c r="X5" i="16"/>
  <c r="E13" i="15"/>
  <c r="S11" i="9"/>
  <c r="P12" i="9"/>
  <c r="F12" i="13"/>
  <c r="M26" i="6"/>
  <c r="O11" i="15"/>
  <c r="V19" i="12"/>
  <c r="O6" i="13"/>
  <c r="L17" i="10"/>
  <c r="N9" i="6"/>
  <c r="C21" i="12"/>
  <c r="S11" i="13"/>
  <c r="L9" i="12"/>
  <c r="R23" i="13"/>
  <c r="I29" i="13"/>
  <c r="X7" i="6"/>
  <c r="S24" i="13"/>
  <c r="U14" i="6"/>
  <c r="I23" i="10"/>
  <c r="H3" i="10"/>
  <c r="R28" i="6"/>
  <c r="P13" i="12"/>
  <c r="C28" i="12"/>
  <c r="C20" i="13"/>
  <c r="V31" i="10"/>
  <c r="T27" i="10"/>
  <c r="N23" i="13"/>
  <c r="H14" i="6"/>
  <c r="N17" i="12"/>
  <c r="D28" i="13"/>
  <c r="W8" i="13"/>
  <c r="C11" i="12"/>
  <c r="D12" i="12"/>
  <c r="M9" i="12"/>
  <c r="R15" i="6"/>
  <c r="O24" i="6"/>
  <c r="N13" i="10"/>
  <c r="T16" i="9"/>
  <c r="C3" i="12"/>
  <c r="X10" i="9"/>
  <c r="K7" i="12"/>
  <c r="M3" i="13"/>
  <c r="Q9" i="10"/>
  <c r="N11" i="10"/>
  <c r="E28" i="12"/>
  <c r="X17" i="6"/>
  <c r="C12" i="16"/>
  <c r="D14" i="6"/>
  <c r="L31" i="6"/>
  <c r="W31" i="6"/>
  <c r="C4" i="13"/>
  <c r="J14" i="9"/>
  <c r="R15" i="9"/>
  <c r="J17" i="6"/>
  <c r="H13" i="10"/>
  <c r="U21" i="10"/>
  <c r="E7" i="12"/>
  <c r="O15" i="10"/>
  <c r="W22" i="12"/>
  <c r="G11" i="10"/>
  <c r="W30" i="12"/>
  <c r="M11" i="16"/>
  <c r="E5" i="6"/>
  <c r="G15" i="10"/>
  <c r="L14" i="6"/>
  <c r="L25" i="13"/>
  <c r="W19" i="10"/>
  <c r="T10" i="15"/>
  <c r="Y20" i="13"/>
  <c r="X12" i="13"/>
  <c r="I27" i="6"/>
  <c r="T26" i="15"/>
  <c r="G8" i="13"/>
  <c r="R13" i="13"/>
  <c r="G25" i="6"/>
  <c r="S19" i="12"/>
  <c r="C16" i="10"/>
  <c r="V8" i="9"/>
  <c r="Q24" i="10"/>
  <c r="F23" i="12"/>
  <c r="I30" i="6"/>
  <c r="N19" i="9"/>
  <c r="N17" i="10"/>
  <c r="R8" i="9"/>
  <c r="C17" i="17"/>
  <c r="L14" i="10"/>
  <c r="K28" i="12"/>
  <c r="U13" i="9"/>
  <c r="G16" i="12"/>
  <c r="S12" i="9"/>
  <c r="S18" i="13"/>
  <c r="S9" i="10"/>
  <c r="C2" i="12"/>
  <c r="L2" i="10"/>
  <c r="C15" i="12"/>
  <c r="S17" i="10"/>
  <c r="U4" i="9"/>
  <c r="O30" i="13"/>
  <c r="E13" i="12"/>
  <c r="C2" i="17"/>
  <c r="O4" i="12"/>
  <c r="W25" i="12"/>
  <c r="Y24" i="10"/>
  <c r="R5" i="10"/>
  <c r="L12" i="12"/>
  <c r="V28" i="10"/>
  <c r="W11" i="9"/>
  <c r="C23" i="16"/>
  <c r="C2" i="13"/>
  <c r="M25" i="6"/>
  <c r="I11" i="12"/>
  <c r="M22" i="9"/>
  <c r="S26" i="9"/>
  <c r="K30" i="9"/>
  <c r="G21" i="9"/>
  <c r="I7" i="9"/>
  <c r="H31" i="9"/>
  <c r="X8" i="10"/>
  <c r="T27" i="12"/>
  <c r="Y31" i="10"/>
  <c r="H22" i="6"/>
  <c r="S23" i="10"/>
  <c r="Q6" i="10"/>
  <c r="P27" i="10"/>
  <c r="L3" i="6"/>
  <c r="H29" i="13"/>
  <c r="Y17" i="12"/>
  <c r="W23" i="6"/>
  <c r="Q19" i="10"/>
  <c r="Q5" i="6"/>
  <c r="K19" i="6"/>
  <c r="Y29" i="9"/>
  <c r="K27" i="6"/>
  <c r="I17" i="6"/>
  <c r="Q24" i="6"/>
  <c r="J10" i="10"/>
  <c r="T23" i="9"/>
  <c r="K5" i="6"/>
  <c r="U6" i="10"/>
  <c r="K26" i="9"/>
  <c r="D18" i="6"/>
  <c r="C19" i="16"/>
  <c r="G2" i="10"/>
  <c r="T15" i="12"/>
  <c r="H30" i="9"/>
  <c r="X20" i="10"/>
  <c r="M12" i="6"/>
  <c r="M8" i="6"/>
  <c r="L18" i="6"/>
  <c r="C9" i="15"/>
  <c r="C24" i="18"/>
  <c r="C13" i="18"/>
  <c r="C6" i="18"/>
  <c r="E9" i="6"/>
  <c r="X3" i="12"/>
  <c r="C27" i="6"/>
  <c r="X18" i="6"/>
  <c r="C31" i="18"/>
  <c r="V26" i="13"/>
  <c r="E16" i="13"/>
  <c r="N13" i="9"/>
  <c r="O27" i="10"/>
  <c r="F19" i="15"/>
  <c r="D30" i="13"/>
  <c r="T30" i="12"/>
  <c r="H26" i="9"/>
  <c r="R4" i="9"/>
  <c r="H5" i="6"/>
  <c r="F2" i="10"/>
  <c r="F8" i="12"/>
  <c r="S12" i="6"/>
  <c r="U6" i="6"/>
  <c r="R30" i="10"/>
  <c r="M28" i="9"/>
  <c r="K31" i="10"/>
  <c r="G26" i="10"/>
  <c r="M31" i="6"/>
  <c r="M13" i="12"/>
  <c r="N30" i="6"/>
  <c r="X10" i="10"/>
  <c r="U22" i="12"/>
  <c r="S12" i="13"/>
  <c r="D2" i="10"/>
  <c r="J19" i="15"/>
  <c r="U24" i="15"/>
  <c r="M28" i="6"/>
  <c r="K8" i="6"/>
  <c r="K10" i="6"/>
  <c r="Q17" i="13"/>
  <c r="I5" i="9"/>
  <c r="R27" i="13"/>
  <c r="P6" i="12"/>
  <c r="T19" i="6"/>
  <c r="I24" i="13"/>
  <c r="C3" i="16"/>
  <c r="G18" i="12"/>
  <c r="C12" i="6"/>
  <c r="Y4" i="13"/>
  <c r="K26" i="10"/>
  <c r="V12" i="6"/>
  <c r="O3" i="6"/>
  <c r="I4" i="6"/>
  <c r="J26" i="9"/>
  <c r="T18" i="9"/>
  <c r="Y14" i="10"/>
  <c r="G14" i="6"/>
  <c r="D22" i="6"/>
  <c r="Y16" i="10"/>
  <c r="C21" i="18"/>
  <c r="G14" i="9"/>
  <c r="Y2" i="10"/>
  <c r="R23" i="10"/>
  <c r="Q17" i="10"/>
  <c r="E12" i="10"/>
  <c r="E15" i="12"/>
  <c r="W14" i="6"/>
  <c r="S16" i="6"/>
  <c r="C4" i="9"/>
  <c r="W9" i="6"/>
  <c r="J18" i="10"/>
  <c r="J11" i="6"/>
  <c r="V7" i="10"/>
  <c r="C13" i="10"/>
  <c r="F9" i="10"/>
  <c r="C4" i="18"/>
  <c r="D31" i="10"/>
  <c r="G20" i="12"/>
  <c r="C11" i="10"/>
  <c r="W6" i="13"/>
  <c r="C7" i="6"/>
  <c r="G14" i="10"/>
  <c r="Y12" i="12"/>
  <c r="G26" i="6"/>
  <c r="M20" i="9"/>
  <c r="M7" i="10"/>
  <c r="T4" i="15"/>
  <c r="T11" i="9"/>
  <c r="P25" i="9"/>
  <c r="O17" i="6"/>
  <c r="N5" i="13"/>
  <c r="S14" i="6"/>
  <c r="X15" i="6"/>
  <c r="U10" i="9"/>
  <c r="V16" i="13"/>
  <c r="C19" i="9"/>
  <c r="L7" i="12"/>
  <c r="H13" i="13"/>
  <c r="Y18" i="9"/>
  <c r="U31" i="10"/>
  <c r="U19" i="12"/>
  <c r="R31" i="10"/>
  <c r="P17" i="12"/>
  <c r="O3" i="15"/>
  <c r="S26" i="12"/>
  <c r="E3" i="6"/>
  <c r="D9" i="6"/>
  <c r="L30" i="12"/>
  <c r="K25" i="9"/>
  <c r="N20" i="10"/>
  <c r="L4" i="10"/>
  <c r="D30" i="12"/>
  <c r="D28" i="10"/>
  <c r="C4" i="15"/>
  <c r="F15" i="6"/>
  <c r="X27" i="13"/>
  <c r="G11" i="15"/>
  <c r="H15" i="13"/>
  <c r="H4" i="13"/>
  <c r="Y10" i="10"/>
  <c r="M17" i="6"/>
  <c r="M26" i="10"/>
  <c r="W25" i="9"/>
  <c r="G6" i="9"/>
  <c r="R25" i="6"/>
  <c r="X2" i="6"/>
  <c r="E25" i="9"/>
  <c r="N8" i="12"/>
  <c r="S11" i="6"/>
  <c r="X10" i="13"/>
  <c r="W22" i="9"/>
  <c r="U9" i="6"/>
  <c r="C15" i="10"/>
  <c r="F10" i="6"/>
  <c r="F29" i="9"/>
  <c r="Q28" i="10"/>
  <c r="C5" i="6"/>
  <c r="G22" i="6"/>
  <c r="C13" i="17"/>
  <c r="O2" i="12"/>
  <c r="Q14" i="10"/>
  <c r="C25" i="18"/>
  <c r="W17" i="6"/>
  <c r="N11" i="6"/>
  <c r="S31" i="9"/>
  <c r="U26" i="6"/>
  <c r="C13" i="6"/>
  <c r="P9" i="13"/>
  <c r="Q4" i="6"/>
  <c r="C17" i="18"/>
  <c r="S18" i="10"/>
  <c r="O19" i="15"/>
  <c r="V27" i="6"/>
  <c r="I25" i="10"/>
  <c r="C17" i="15"/>
  <c r="Q23" i="12"/>
  <c r="C14" i="16"/>
  <c r="C31" i="15"/>
  <c r="P24" i="6"/>
  <c r="L7" i="6"/>
  <c r="F15" i="12"/>
  <c r="H31" i="6"/>
  <c r="J27" i="15"/>
  <c r="P11" i="10"/>
  <c r="G4" i="6"/>
  <c r="U31" i="9"/>
  <c r="Y12" i="10"/>
  <c r="L24" i="6"/>
  <c r="Y29" i="13"/>
  <c r="C25" i="15"/>
  <c r="N26" i="12"/>
  <c r="S10" i="12"/>
  <c r="W29" i="6"/>
  <c r="U4" i="12"/>
  <c r="N15" i="9"/>
  <c r="K22" i="9"/>
  <c r="M3" i="9"/>
  <c r="Y15" i="6"/>
  <c r="F29" i="12"/>
  <c r="G31" i="12"/>
  <c r="C11" i="15"/>
  <c r="C29" i="16"/>
  <c r="D20" i="13"/>
  <c r="J19" i="10"/>
  <c r="C17" i="9"/>
  <c r="H23" i="6"/>
  <c r="C22" i="18"/>
  <c r="R30" i="13"/>
  <c r="I2" i="6"/>
  <c r="D7" i="6"/>
  <c r="T20" i="9"/>
  <c r="Q13" i="10"/>
  <c r="S13" i="6"/>
  <c r="T21" i="9"/>
  <c r="C10" i="18"/>
  <c r="O8" i="6"/>
  <c r="E8" i="12"/>
  <c r="W3" i="6"/>
  <c r="K14" i="10"/>
  <c r="D6" i="9"/>
  <c r="V31" i="9"/>
  <c r="M2" i="6"/>
  <c r="C30" i="12"/>
  <c r="L26" i="9"/>
  <c r="M18" i="13"/>
  <c r="O10" i="10"/>
  <c r="Y31" i="6"/>
  <c r="O18" i="10"/>
  <c r="D10" i="9"/>
  <c r="G24" i="9"/>
  <c r="D16" i="12"/>
  <c r="H6" i="12"/>
  <c r="K15" i="6"/>
  <c r="K24" i="10"/>
  <c r="O12" i="6"/>
  <c r="I3" i="10"/>
  <c r="J8" i="12"/>
  <c r="N21" i="13"/>
  <c r="C15" i="18"/>
  <c r="V29" i="12"/>
  <c r="W18" i="9"/>
  <c r="N29" i="6"/>
  <c r="S24" i="6"/>
  <c r="K13" i="13"/>
  <c r="Y23" i="6"/>
  <c r="F3" i="9"/>
  <c r="L8" i="13"/>
  <c r="C9" i="6"/>
  <c r="E19" i="9"/>
  <c r="W15" i="12"/>
  <c r="L6" i="10"/>
  <c r="Q20" i="9"/>
  <c r="K29" i="13"/>
  <c r="U29" i="13"/>
  <c r="C18" i="9"/>
  <c r="J9" i="6"/>
  <c r="C28" i="9"/>
  <c r="P17" i="9"/>
  <c r="U5" i="9"/>
  <c r="N23" i="9"/>
  <c r="P19" i="12"/>
  <c r="W24" i="13"/>
  <c r="C12" i="12"/>
  <c r="O27" i="6"/>
  <c r="N21" i="12"/>
  <c r="U31" i="6"/>
  <c r="F24" i="9"/>
  <c r="J26" i="12"/>
  <c r="C28" i="10"/>
  <c r="O26" i="6"/>
  <c r="J28" i="6"/>
  <c r="C23" i="6"/>
  <c r="W27" i="9"/>
  <c r="W19" i="6"/>
  <c r="D7" i="9"/>
  <c r="O31" i="9"/>
  <c r="R4" i="6"/>
  <c r="C7" i="18"/>
  <c r="Y25" i="9"/>
  <c r="Q20" i="6"/>
  <c r="G10" i="9"/>
  <c r="F16" i="10"/>
  <c r="C14" i="18"/>
  <c r="P13" i="9"/>
  <c r="O18" i="16"/>
  <c r="J21" i="12"/>
  <c r="Q8" i="13"/>
  <c r="C29" i="13"/>
  <c r="G28" i="6"/>
  <c r="J30" i="9"/>
  <c r="S3" i="13"/>
  <c r="Q17" i="9"/>
  <c r="E25" i="10"/>
  <c r="K17" i="6"/>
  <c r="J25" i="6"/>
  <c r="C13" i="15"/>
  <c r="F25" i="6"/>
  <c r="P29" i="6"/>
  <c r="X23" i="9"/>
  <c r="S27" i="9"/>
  <c r="W4" i="9"/>
  <c r="T6" i="6"/>
  <c r="I29" i="12"/>
  <c r="N14" i="9"/>
  <c r="Y5" i="13"/>
  <c r="V17" i="12"/>
  <c r="X15" i="9"/>
  <c r="P5" i="19" l="1"/>
  <c r="K5" i="19"/>
  <c r="I8" i="19"/>
  <c r="D8" i="19"/>
  <c r="N9" i="19"/>
  <c r="M8" i="19"/>
  <c r="J9" i="19"/>
  <c r="E8" i="19"/>
  <c r="L9" i="19"/>
  <c r="W3" i="19"/>
  <c r="Q2" i="19"/>
  <c r="U2" i="19"/>
  <c r="F5" i="19"/>
  <c r="V5" i="19"/>
  <c r="B4" i="19"/>
  <c r="L5" i="19"/>
  <c r="U9" i="19"/>
  <c r="W5" i="19"/>
  <c r="E5" i="19"/>
  <c r="M5" i="19"/>
  <c r="F2" i="19"/>
  <c r="G5" i="19"/>
  <c r="B3" i="19"/>
  <c r="I9" i="19"/>
  <c r="C2" i="19"/>
  <c r="R3" i="19"/>
  <c r="X9" i="19"/>
  <c r="I2" i="19"/>
  <c r="X3" i="19"/>
  <c r="G9" i="19"/>
  <c r="S2" i="19"/>
  <c r="E3" i="19"/>
  <c r="X2" i="19"/>
  <c r="P8" i="19"/>
  <c r="E2" i="19"/>
  <c r="O2" i="19"/>
  <c r="D3" i="19"/>
  <c r="B7" i="19"/>
  <c r="B10" i="19"/>
  <c r="N3" i="19"/>
  <c r="B6" i="19"/>
  <c r="N2" i="19"/>
  <c r="Q8" i="19"/>
  <c r="J8" i="19"/>
  <c r="I3" i="19"/>
  <c r="P2" i="19"/>
  <c r="M2" i="19"/>
  <c r="L3" i="19"/>
  <c r="B5" i="19"/>
  <c r="K8" i="19"/>
  <c r="S3" i="19"/>
  <c r="U4" i="19"/>
  <c r="H8" i="19"/>
  <c r="W2" i="19"/>
  <c r="E9" i="19"/>
  <c r="F8" i="19"/>
  <c r="E4" i="19"/>
  <c r="H2" i="19"/>
  <c r="W9" i="19"/>
  <c r="R9" i="19"/>
  <c r="B2" i="19"/>
  <c r="C3" i="19"/>
  <c r="X8" i="19"/>
  <c r="R4" i="19"/>
  <c r="P9" i="19"/>
  <c r="K9" i="19"/>
  <c r="K2" i="19"/>
  <c r="H5" i="19"/>
  <c r="U8" i="19"/>
  <c r="T4" i="19"/>
  <c r="Q5" i="19"/>
  <c r="T9" i="19"/>
  <c r="U5" i="19"/>
  <c r="G2" i="19"/>
  <c r="D9" i="19"/>
  <c r="V9" i="19"/>
  <c r="V3" i="19"/>
  <c r="G3" i="19"/>
  <c r="D5" i="19"/>
  <c r="P4" i="19"/>
  <c r="C9" i="19"/>
  <c r="B9" i="19"/>
  <c r="Q9" i="19"/>
  <c r="F9" i="19"/>
  <c r="C5" i="19"/>
  <c r="N5" i="19"/>
  <c r="R8" i="19"/>
  <c r="O9" i="19"/>
  <c r="U3" i="19"/>
  <c r="F3" i="19"/>
  <c r="J2" i="19"/>
  <c r="O8" i="19"/>
  <c r="L8" i="19"/>
  <c r="D2" i="19"/>
  <c r="I4" i="19"/>
  <c r="H9" i="19"/>
  <c r="K3" i="19"/>
  <c r="V8" i="19"/>
  <c r="O5" i="19"/>
  <c r="K4" i="19"/>
  <c r="S5" i="19"/>
  <c r="X5" i="19"/>
  <c r="J4" i="19"/>
  <c r="I5" i="19"/>
  <c r="O3" i="19"/>
  <c r="S9" i="19"/>
  <c r="W8" i="19"/>
  <c r="S8" i="19"/>
  <c r="V2" i="19"/>
  <c r="N8" i="19"/>
  <c r="Q3" i="19"/>
  <c r="G8" i="19"/>
  <c r="M3" i="19"/>
  <c r="L4" i="19"/>
  <c r="W4" i="19"/>
  <c r="M9" i="19"/>
  <c r="V4" i="19"/>
  <c r="F6" i="19"/>
  <c r="P7" i="19"/>
  <c r="R6" i="19"/>
  <c r="V7" i="19"/>
  <c r="X4" i="19"/>
  <c r="C8" i="19"/>
  <c r="L2" i="19"/>
  <c r="J3" i="19"/>
  <c r="R2" i="19"/>
  <c r="T2" i="19"/>
  <c r="R5" i="19"/>
  <c r="S4" i="19"/>
  <c r="M7" i="19"/>
  <c r="J5" i="19"/>
  <c r="J60" i="14"/>
  <c r="J52" i="14"/>
  <c r="J44" i="14"/>
  <c r="J36" i="14"/>
  <c r="J29" i="14"/>
  <c r="J21" i="14"/>
  <c r="J13" i="14"/>
  <c r="J5" i="14"/>
  <c r="J59" i="14"/>
  <c r="J51" i="14"/>
  <c r="J43" i="14"/>
  <c r="J35" i="14"/>
  <c r="J28" i="14"/>
  <c r="J20" i="14"/>
  <c r="J12" i="14"/>
  <c r="J4" i="14"/>
  <c r="J58" i="14"/>
  <c r="J50" i="14"/>
  <c r="J42" i="14"/>
  <c r="J34" i="14"/>
  <c r="J27" i="14"/>
  <c r="J19" i="14"/>
  <c r="J11" i="14"/>
  <c r="J3" i="14"/>
  <c r="J57" i="14"/>
  <c r="J49" i="14"/>
  <c r="J41" i="14"/>
  <c r="J33" i="14"/>
  <c r="J26" i="14"/>
  <c r="J18" i="14"/>
  <c r="J10" i="14"/>
  <c r="J2" i="14"/>
  <c r="J56" i="14"/>
  <c r="J48" i="14"/>
  <c r="J40" i="14"/>
  <c r="J25" i="14"/>
  <c r="J17" i="14"/>
  <c r="J9" i="14"/>
  <c r="J55" i="14"/>
  <c r="J47" i="14"/>
  <c r="J39" i="14"/>
  <c r="J24" i="14"/>
  <c r="S24" i="14" s="1"/>
  <c r="J16" i="14"/>
  <c r="S16" i="14" s="1"/>
  <c r="J8" i="14"/>
  <c r="J62" i="14"/>
  <c r="J54" i="14"/>
  <c r="J46" i="14"/>
  <c r="J38" i="14"/>
  <c r="J31" i="14"/>
  <c r="J23" i="14"/>
  <c r="S23" i="14" s="1"/>
  <c r="J15" i="14"/>
  <c r="S15" i="14" s="1"/>
  <c r="J7" i="14"/>
  <c r="S7" i="14" s="1"/>
  <c r="J61" i="14"/>
  <c r="J53" i="14"/>
  <c r="J45" i="14"/>
  <c r="J37" i="14"/>
  <c r="J30" i="14"/>
  <c r="J22" i="14"/>
  <c r="S22" i="14" s="1"/>
  <c r="J14" i="14"/>
  <c r="S14" i="14" s="1"/>
  <c r="J6" i="14"/>
  <c r="S6" i="14" s="1"/>
  <c r="D6" i="19"/>
  <c r="D7" i="19"/>
  <c r="H3" i="19"/>
  <c r="D4" i="19"/>
  <c r="C4" i="19"/>
  <c r="Q6" i="19"/>
  <c r="P6" i="19"/>
  <c r="S7" i="19"/>
  <c r="X6" i="19"/>
  <c r="J7" i="19"/>
  <c r="H4" i="19"/>
  <c r="M4" i="19"/>
  <c r="O7" i="19"/>
  <c r="P3" i="19"/>
  <c r="W6" i="19"/>
  <c r="T8" i="19"/>
  <c r="N4" i="19"/>
  <c r="L7" i="19"/>
  <c r="T5" i="19"/>
  <c r="N6" i="19"/>
  <c r="G7" i="19"/>
  <c r="O4" i="19"/>
  <c r="G4" i="19"/>
  <c r="X7" i="19"/>
  <c r="E6" i="19"/>
  <c r="C6" i="19"/>
  <c r="K6" i="19"/>
  <c r="F4" i="19"/>
  <c r="D56" i="14"/>
  <c r="D48" i="14"/>
  <c r="D40" i="14"/>
  <c r="D25" i="14"/>
  <c r="D17" i="14"/>
  <c r="D9" i="14"/>
  <c r="D30" i="14"/>
  <c r="D55" i="14"/>
  <c r="D47" i="14"/>
  <c r="D39" i="14"/>
  <c r="D24" i="14"/>
  <c r="M24" i="14" s="1"/>
  <c r="D16" i="14"/>
  <c r="D8" i="14"/>
  <c r="D22" i="14"/>
  <c r="D62" i="14"/>
  <c r="D54" i="14"/>
  <c r="D46" i="14"/>
  <c r="D38" i="14"/>
  <c r="D31" i="14"/>
  <c r="M31" i="14" s="1"/>
  <c r="D23" i="14"/>
  <c r="M23" i="14" s="1"/>
  <c r="D15" i="14"/>
  <c r="D7" i="14"/>
  <c r="D14" i="14"/>
  <c r="D6" i="14"/>
  <c r="D61" i="14"/>
  <c r="D53" i="14"/>
  <c r="D45" i="14"/>
  <c r="D37" i="14"/>
  <c r="D60" i="14"/>
  <c r="D52" i="14"/>
  <c r="D44" i="14"/>
  <c r="D36" i="14"/>
  <c r="D29" i="14"/>
  <c r="D21" i="14"/>
  <c r="M21" i="14" s="1"/>
  <c r="D13" i="14"/>
  <c r="M13" i="14" s="1"/>
  <c r="D5" i="14"/>
  <c r="M5" i="14" s="1"/>
  <c r="D59" i="14"/>
  <c r="D51" i="14"/>
  <c r="D43" i="14"/>
  <c r="D35" i="14"/>
  <c r="D28" i="14"/>
  <c r="D20" i="14"/>
  <c r="M20" i="14" s="1"/>
  <c r="D12" i="14"/>
  <c r="M12" i="14" s="1"/>
  <c r="D4" i="14"/>
  <c r="M4" i="14" s="1"/>
  <c r="D58" i="14"/>
  <c r="D50" i="14"/>
  <c r="D42" i="14"/>
  <c r="D34" i="14"/>
  <c r="D27" i="14"/>
  <c r="D19" i="14"/>
  <c r="M19" i="14" s="1"/>
  <c r="D11" i="14"/>
  <c r="M11" i="14" s="1"/>
  <c r="D3" i="14"/>
  <c r="M3" i="14" s="1"/>
  <c r="D57" i="14"/>
  <c r="D49" i="14"/>
  <c r="D41" i="14"/>
  <c r="D33" i="14"/>
  <c r="D26" i="14"/>
  <c r="D18" i="14"/>
  <c r="M18" i="14" s="1"/>
  <c r="D10" i="14"/>
  <c r="M10" i="14" s="1"/>
  <c r="D2" i="14"/>
  <c r="M2" i="14" s="1"/>
  <c r="Q7" i="19"/>
  <c r="J6" i="19"/>
  <c r="F7" i="19"/>
  <c r="M6" i="19"/>
  <c r="N7" i="19"/>
  <c r="C7" i="19"/>
  <c r="W7" i="19"/>
  <c r="T3" i="19"/>
  <c r="O6" i="19"/>
  <c r="E7" i="19"/>
  <c r="B62" i="14"/>
  <c r="B54" i="14"/>
  <c r="B46" i="14"/>
  <c r="B38" i="14"/>
  <c r="B31" i="14"/>
  <c r="K31" i="14" s="1"/>
  <c r="B23" i="14"/>
  <c r="K23" i="14" s="1"/>
  <c r="B15" i="14"/>
  <c r="B7" i="14"/>
  <c r="B12" i="14"/>
  <c r="B61" i="14"/>
  <c r="B53" i="14"/>
  <c r="B45" i="14"/>
  <c r="B37" i="14"/>
  <c r="B30" i="14"/>
  <c r="K30" i="14" s="1"/>
  <c r="B22" i="14"/>
  <c r="B14" i="14"/>
  <c r="B6" i="14"/>
  <c r="B28" i="14"/>
  <c r="B4" i="14"/>
  <c r="K4" i="14" s="1"/>
  <c r="B3" i="14"/>
  <c r="B60" i="14"/>
  <c r="B52" i="14"/>
  <c r="B44" i="14"/>
  <c r="B36" i="14"/>
  <c r="B29" i="14"/>
  <c r="B21" i="14"/>
  <c r="B13" i="14"/>
  <c r="B5" i="14"/>
  <c r="K5" i="14" s="1"/>
  <c r="B20" i="14"/>
  <c r="B59" i="14"/>
  <c r="B51" i="14"/>
  <c r="B43" i="14"/>
  <c r="B35" i="14"/>
  <c r="B58" i="14"/>
  <c r="B50" i="14"/>
  <c r="B42" i="14"/>
  <c r="B34" i="14"/>
  <c r="B27" i="14"/>
  <c r="K27" i="14" s="1"/>
  <c r="B19" i="14"/>
  <c r="B11" i="14"/>
  <c r="B57" i="14"/>
  <c r="B49" i="14"/>
  <c r="B41" i="14"/>
  <c r="B33" i="14"/>
  <c r="B26" i="14"/>
  <c r="K26" i="14" s="1"/>
  <c r="B18" i="14"/>
  <c r="K18" i="14" s="1"/>
  <c r="B10" i="14"/>
  <c r="B2" i="14"/>
  <c r="B56" i="14"/>
  <c r="B48" i="14"/>
  <c r="B40" i="14"/>
  <c r="B25" i="14"/>
  <c r="K25" i="14" s="1"/>
  <c r="B17" i="14"/>
  <c r="K17" i="14" s="1"/>
  <c r="B9" i="14"/>
  <c r="B55" i="14"/>
  <c r="B47" i="14"/>
  <c r="B39" i="14"/>
  <c r="B24" i="14"/>
  <c r="B16" i="14"/>
  <c r="K16" i="14" s="1"/>
  <c r="B8" i="14"/>
  <c r="K8" i="14" s="1"/>
  <c r="H6" i="19"/>
  <c r="T7" i="19"/>
  <c r="S6" i="19"/>
  <c r="U6" i="19"/>
  <c r="T6" i="19"/>
  <c r="I58" i="14"/>
  <c r="I50" i="14"/>
  <c r="I42" i="14"/>
  <c r="I34" i="14"/>
  <c r="I27" i="14"/>
  <c r="R27" i="14" s="1"/>
  <c r="I19" i="14"/>
  <c r="I11" i="14"/>
  <c r="I3" i="14"/>
  <c r="I57" i="14"/>
  <c r="I49" i="14"/>
  <c r="I41" i="14"/>
  <c r="I33" i="14"/>
  <c r="I26" i="14"/>
  <c r="R26" i="14" s="1"/>
  <c r="I18" i="14"/>
  <c r="I10" i="14"/>
  <c r="I2" i="14"/>
  <c r="I56" i="14"/>
  <c r="I48" i="14"/>
  <c r="I40" i="14"/>
  <c r="I25" i="14"/>
  <c r="R25" i="14" s="1"/>
  <c r="I17" i="14"/>
  <c r="I9" i="14"/>
  <c r="I55" i="14"/>
  <c r="I47" i="14"/>
  <c r="I39" i="14"/>
  <c r="I24" i="14"/>
  <c r="R24" i="14" s="1"/>
  <c r="I16" i="14"/>
  <c r="R16" i="14" s="1"/>
  <c r="I8" i="14"/>
  <c r="R8" i="14" s="1"/>
  <c r="I62" i="14"/>
  <c r="I54" i="14"/>
  <c r="I46" i="14"/>
  <c r="I38" i="14"/>
  <c r="I31" i="14"/>
  <c r="I23" i="14"/>
  <c r="I15" i="14"/>
  <c r="R15" i="14" s="1"/>
  <c r="I7" i="14"/>
  <c r="R7" i="14" s="1"/>
  <c r="I61" i="14"/>
  <c r="I53" i="14"/>
  <c r="I45" i="14"/>
  <c r="I37" i="14"/>
  <c r="I30" i="14"/>
  <c r="I22" i="14"/>
  <c r="I14" i="14"/>
  <c r="R14" i="14" s="1"/>
  <c r="I6" i="14"/>
  <c r="R6" i="14" s="1"/>
  <c r="I60" i="14"/>
  <c r="I52" i="14"/>
  <c r="I44" i="14"/>
  <c r="I36" i="14"/>
  <c r="I29" i="14"/>
  <c r="I21" i="14"/>
  <c r="I13" i="14"/>
  <c r="R13" i="14" s="1"/>
  <c r="I5" i="14"/>
  <c r="R5" i="14" s="1"/>
  <c r="I59" i="14"/>
  <c r="I51" i="14"/>
  <c r="I43" i="14"/>
  <c r="I35" i="14"/>
  <c r="I28" i="14"/>
  <c r="I20" i="14"/>
  <c r="I12" i="14"/>
  <c r="R12" i="14" s="1"/>
  <c r="I4" i="14"/>
  <c r="R4" i="14" s="1"/>
  <c r="B8" i="19"/>
  <c r="Q4" i="19"/>
  <c r="R7" i="19"/>
  <c r="G6" i="19"/>
  <c r="V6" i="19"/>
  <c r="I6" i="19"/>
  <c r="H56" i="14"/>
  <c r="H48" i="14"/>
  <c r="H40" i="14"/>
  <c r="H25" i="14"/>
  <c r="H17" i="14"/>
  <c r="H9" i="14"/>
  <c r="H55" i="14"/>
  <c r="H47" i="14"/>
  <c r="H39" i="14"/>
  <c r="H24" i="14"/>
  <c r="Q24" i="14" s="1"/>
  <c r="H16" i="14"/>
  <c r="H8" i="14"/>
  <c r="H62" i="14"/>
  <c r="H54" i="14"/>
  <c r="H46" i="14"/>
  <c r="H38" i="14"/>
  <c r="H31" i="14"/>
  <c r="Q31" i="14" s="1"/>
  <c r="H23" i="14"/>
  <c r="Q23" i="14" s="1"/>
  <c r="H15" i="14"/>
  <c r="Q15" i="14" s="1"/>
  <c r="H7" i="14"/>
  <c r="H61" i="14"/>
  <c r="H53" i="14"/>
  <c r="H45" i="14"/>
  <c r="H37" i="14"/>
  <c r="H30" i="14"/>
  <c r="Q30" i="14" s="1"/>
  <c r="H22" i="14"/>
  <c r="Q22" i="14" s="1"/>
  <c r="H14" i="14"/>
  <c r="Q14" i="14" s="1"/>
  <c r="H6" i="14"/>
  <c r="H60" i="14"/>
  <c r="H52" i="14"/>
  <c r="H44" i="14"/>
  <c r="H36" i="14"/>
  <c r="H29" i="14"/>
  <c r="Q29" i="14" s="1"/>
  <c r="H21" i="14"/>
  <c r="Q21" i="14" s="1"/>
  <c r="H13" i="14"/>
  <c r="Q13" i="14" s="1"/>
  <c r="H5" i="14"/>
  <c r="H59" i="14"/>
  <c r="H51" i="14"/>
  <c r="H43" i="14"/>
  <c r="H35" i="14"/>
  <c r="H28" i="14"/>
  <c r="Q28" i="14" s="1"/>
  <c r="H20" i="14"/>
  <c r="Q20" i="14" s="1"/>
  <c r="H12" i="14"/>
  <c r="Q12" i="14" s="1"/>
  <c r="H4" i="14"/>
  <c r="H58" i="14"/>
  <c r="H50" i="14"/>
  <c r="H42" i="14"/>
  <c r="H34" i="14"/>
  <c r="H27" i="14"/>
  <c r="Q27" i="14" s="1"/>
  <c r="H19" i="14"/>
  <c r="Q19" i="14" s="1"/>
  <c r="H11" i="14"/>
  <c r="Q11" i="14" s="1"/>
  <c r="H3" i="14"/>
  <c r="H57" i="14"/>
  <c r="H49" i="14"/>
  <c r="H41" i="14"/>
  <c r="H33" i="14"/>
  <c r="H26" i="14"/>
  <c r="Q26" i="14" s="1"/>
  <c r="H18" i="14"/>
  <c r="Q18" i="14" s="1"/>
  <c r="H10" i="14"/>
  <c r="Q10" i="14" s="1"/>
  <c r="H2" i="14"/>
  <c r="G62" i="14"/>
  <c r="G54" i="14"/>
  <c r="G46" i="14"/>
  <c r="G38" i="14"/>
  <c r="G31" i="14"/>
  <c r="P31" i="14" s="1"/>
  <c r="G23" i="14"/>
  <c r="P23" i="14" s="1"/>
  <c r="G15" i="14"/>
  <c r="P15" i="14" s="1"/>
  <c r="G7" i="14"/>
  <c r="G61" i="14"/>
  <c r="G53" i="14"/>
  <c r="G45" i="14"/>
  <c r="G37" i="14"/>
  <c r="G30" i="14"/>
  <c r="P30" i="14" s="1"/>
  <c r="G22" i="14"/>
  <c r="P22" i="14" s="1"/>
  <c r="G14" i="14"/>
  <c r="P14" i="14" s="1"/>
  <c r="G6" i="14"/>
  <c r="G20" i="14"/>
  <c r="G60" i="14"/>
  <c r="G52" i="14"/>
  <c r="G44" i="14"/>
  <c r="G36" i="14"/>
  <c r="G29" i="14"/>
  <c r="P29" i="14" s="1"/>
  <c r="G21" i="14"/>
  <c r="P21" i="14" s="1"/>
  <c r="G13" i="14"/>
  <c r="G5" i="14"/>
  <c r="G12" i="14"/>
  <c r="G59" i="14"/>
  <c r="G51" i="14"/>
  <c r="G43" i="14"/>
  <c r="G35" i="14"/>
  <c r="G28" i="14"/>
  <c r="P28" i="14" s="1"/>
  <c r="G4" i="14"/>
  <c r="G58" i="14"/>
  <c r="G50" i="14"/>
  <c r="G42" i="14"/>
  <c r="G34" i="14"/>
  <c r="G27" i="14"/>
  <c r="P27" i="14" s="1"/>
  <c r="G19" i="14"/>
  <c r="P19" i="14" s="1"/>
  <c r="G11" i="14"/>
  <c r="P11" i="14" s="1"/>
  <c r="G3" i="14"/>
  <c r="G57" i="14"/>
  <c r="G49" i="14"/>
  <c r="G41" i="14"/>
  <c r="G33" i="14"/>
  <c r="G26" i="14"/>
  <c r="P26" i="14" s="1"/>
  <c r="G18" i="14"/>
  <c r="P18" i="14" s="1"/>
  <c r="G10" i="14"/>
  <c r="P10" i="14" s="1"/>
  <c r="G2" i="14"/>
  <c r="G56" i="14"/>
  <c r="G48" i="14"/>
  <c r="G40" i="14"/>
  <c r="G25" i="14"/>
  <c r="P25" i="14" s="1"/>
  <c r="G17" i="14"/>
  <c r="P17" i="14" s="1"/>
  <c r="G9" i="14"/>
  <c r="P9" i="14" s="1"/>
  <c r="G55" i="14"/>
  <c r="G47" i="14"/>
  <c r="G39" i="14"/>
  <c r="G24" i="14"/>
  <c r="G16" i="14"/>
  <c r="G8" i="14"/>
  <c r="P8" i="14" s="1"/>
  <c r="F60" i="14"/>
  <c r="F52" i="14"/>
  <c r="F44" i="14"/>
  <c r="F36" i="14"/>
  <c r="F29" i="14"/>
  <c r="F21" i="14"/>
  <c r="F13" i="14"/>
  <c r="F5" i="14"/>
  <c r="F26" i="14"/>
  <c r="F59" i="14"/>
  <c r="F51" i="14"/>
  <c r="F43" i="14"/>
  <c r="F35" i="14"/>
  <c r="F28" i="14"/>
  <c r="F20" i="14"/>
  <c r="F12" i="14"/>
  <c r="F4" i="14"/>
  <c r="O4" i="14" s="1"/>
  <c r="F10" i="14"/>
  <c r="O10" i="14" s="1"/>
  <c r="F58" i="14"/>
  <c r="F50" i="14"/>
  <c r="F42" i="14"/>
  <c r="F34" i="14"/>
  <c r="F27" i="14"/>
  <c r="F19" i="14"/>
  <c r="F11" i="14"/>
  <c r="O11" i="14" s="1"/>
  <c r="F3" i="14"/>
  <c r="O3" i="14" s="1"/>
  <c r="F2" i="14"/>
  <c r="O2" i="14" s="1"/>
  <c r="F57" i="14"/>
  <c r="F49" i="14"/>
  <c r="F41" i="14"/>
  <c r="F33" i="14"/>
  <c r="F18" i="14"/>
  <c r="O18" i="14" s="1"/>
  <c r="F56" i="14"/>
  <c r="F48" i="14"/>
  <c r="F40" i="14"/>
  <c r="F25" i="14"/>
  <c r="F17" i="14"/>
  <c r="F9" i="14"/>
  <c r="F55" i="14"/>
  <c r="F47" i="14"/>
  <c r="F39" i="14"/>
  <c r="F24" i="14"/>
  <c r="O24" i="14" s="1"/>
  <c r="F16" i="14"/>
  <c r="F8" i="14"/>
  <c r="F62" i="14"/>
  <c r="F54" i="14"/>
  <c r="F46" i="14"/>
  <c r="F38" i="14"/>
  <c r="F31" i="14"/>
  <c r="O31" i="14" s="1"/>
  <c r="F23" i="14"/>
  <c r="O23" i="14" s="1"/>
  <c r="F15" i="14"/>
  <c r="O15" i="14" s="1"/>
  <c r="F7" i="14"/>
  <c r="F61" i="14"/>
  <c r="F53" i="14"/>
  <c r="F45" i="14"/>
  <c r="F37" i="14"/>
  <c r="F30" i="14"/>
  <c r="O30" i="14" s="1"/>
  <c r="F22" i="14"/>
  <c r="O22" i="14" s="1"/>
  <c r="F14" i="14"/>
  <c r="O14" i="14" s="1"/>
  <c r="F6" i="14"/>
  <c r="L6" i="19"/>
  <c r="H7" i="19"/>
  <c r="I7" i="19"/>
  <c r="U7" i="19"/>
  <c r="K7" i="19"/>
  <c r="E58" i="14"/>
  <c r="E50" i="14"/>
  <c r="E42" i="14"/>
  <c r="E34" i="14"/>
  <c r="E27" i="14"/>
  <c r="E19" i="14"/>
  <c r="E11" i="14"/>
  <c r="E3" i="14"/>
  <c r="N3" i="14" s="1"/>
  <c r="E57" i="14"/>
  <c r="E49" i="14"/>
  <c r="E41" i="14"/>
  <c r="E33" i="14"/>
  <c r="E26" i="14"/>
  <c r="E18" i="14"/>
  <c r="E10" i="14"/>
  <c r="E2" i="14"/>
  <c r="N2" i="14" s="1"/>
  <c r="E24" i="14"/>
  <c r="E56" i="14"/>
  <c r="E48" i="14"/>
  <c r="E40" i="14"/>
  <c r="E25" i="14"/>
  <c r="E17" i="14"/>
  <c r="E9" i="14"/>
  <c r="N9" i="14" s="1"/>
  <c r="E16" i="14"/>
  <c r="E55" i="14"/>
  <c r="E47" i="14"/>
  <c r="E39" i="14"/>
  <c r="E8" i="14"/>
  <c r="E62" i="14"/>
  <c r="E54" i="14"/>
  <c r="E46" i="14"/>
  <c r="E38" i="14"/>
  <c r="E31" i="14"/>
  <c r="N31" i="14" s="1"/>
  <c r="E23" i="14"/>
  <c r="N23" i="14" s="1"/>
  <c r="E15" i="14"/>
  <c r="E7" i="14"/>
  <c r="E61" i="14"/>
  <c r="E53" i="14"/>
  <c r="E45" i="14"/>
  <c r="E37" i="14"/>
  <c r="E30" i="14"/>
  <c r="N30" i="14" s="1"/>
  <c r="E22" i="14"/>
  <c r="N22" i="14" s="1"/>
  <c r="E14" i="14"/>
  <c r="E6" i="14"/>
  <c r="E60" i="14"/>
  <c r="E52" i="14"/>
  <c r="E44" i="14"/>
  <c r="E36" i="14"/>
  <c r="E29" i="14"/>
  <c r="N29" i="14" s="1"/>
  <c r="E21" i="14"/>
  <c r="N21" i="14" s="1"/>
  <c r="E13" i="14"/>
  <c r="E5" i="14"/>
  <c r="E59" i="14"/>
  <c r="E51" i="14"/>
  <c r="E43" i="14"/>
  <c r="E35" i="14"/>
  <c r="E28" i="14"/>
  <c r="N28" i="14" s="1"/>
  <c r="E20" i="14"/>
  <c r="N20" i="14" s="1"/>
  <c r="E12" i="14"/>
  <c r="E4" i="14"/>
  <c r="S10" i="19"/>
  <c r="W10" i="19"/>
  <c r="H10" i="19"/>
  <c r="R10" i="19"/>
  <c r="C10" i="19"/>
  <c r="V10" i="19"/>
  <c r="O10" i="19"/>
  <c r="D10" i="19"/>
  <c r="P10" i="19"/>
  <c r="G10" i="19"/>
  <c r="N10" i="19"/>
  <c r="F10" i="19"/>
  <c r="M10" i="19"/>
  <c r="U10" i="19"/>
  <c r="K10" i="19"/>
  <c r="J10" i="19"/>
  <c r="E10" i="19"/>
  <c r="T10" i="19"/>
  <c r="Q10" i="19"/>
  <c r="C62" i="14"/>
  <c r="C54" i="14"/>
  <c r="C46" i="14"/>
  <c r="C38" i="14"/>
  <c r="C29" i="14"/>
  <c r="C21" i="14"/>
  <c r="C13" i="14"/>
  <c r="C5" i="14"/>
  <c r="C61" i="14"/>
  <c r="C53" i="14"/>
  <c r="C45" i="14"/>
  <c r="C37" i="14"/>
  <c r="C28" i="14"/>
  <c r="C20" i="14"/>
  <c r="C12" i="14"/>
  <c r="C4" i="14"/>
  <c r="C60" i="14"/>
  <c r="C52" i="14"/>
  <c r="C44" i="14"/>
  <c r="C36" i="14"/>
  <c r="C27" i="14"/>
  <c r="C19" i="14"/>
  <c r="C11" i="14"/>
  <c r="C3" i="14"/>
  <c r="C59" i="14"/>
  <c r="C51" i="14"/>
  <c r="C43" i="14"/>
  <c r="C35" i="14"/>
  <c r="C26" i="14"/>
  <c r="C18" i="14"/>
  <c r="C10" i="14"/>
  <c r="C2" i="14"/>
  <c r="C58" i="14"/>
  <c r="C50" i="14"/>
  <c r="C42" i="14"/>
  <c r="C34" i="14"/>
  <c r="C25" i="14"/>
  <c r="C17" i="14"/>
  <c r="C9" i="14"/>
  <c r="C57" i="14"/>
  <c r="C56" i="14"/>
  <c r="C55" i="14"/>
  <c r="C47" i="14"/>
  <c r="C39" i="14"/>
  <c r="C30" i="14"/>
  <c r="C22" i="14"/>
  <c r="C14" i="14"/>
  <c r="C6" i="14"/>
  <c r="C49" i="14"/>
  <c r="C16" i="14"/>
  <c r="C48" i="14"/>
  <c r="C15" i="14"/>
  <c r="C41" i="14"/>
  <c r="C8" i="14"/>
  <c r="C40" i="14"/>
  <c r="C7" i="14"/>
  <c r="C33" i="14"/>
  <c r="C23" i="14"/>
  <c r="C31" i="14"/>
  <c r="C24" i="14"/>
  <c r="L10" i="19"/>
  <c r="I10" i="19"/>
  <c r="X10" i="19"/>
  <c r="K20" i="14" l="1"/>
  <c r="L31" i="14"/>
  <c r="O16" i="14"/>
  <c r="Q16" i="14"/>
  <c r="R17" i="14"/>
  <c r="K9" i="14"/>
  <c r="M16" i="14"/>
  <c r="M25" i="14"/>
  <c r="S8" i="14"/>
  <c r="S25" i="14"/>
  <c r="S30" i="14"/>
  <c r="O26" i="14"/>
  <c r="L7" i="14"/>
  <c r="L4" i="14"/>
  <c r="O5" i="14"/>
  <c r="R20" i="14"/>
  <c r="R22" i="14"/>
  <c r="M26" i="14"/>
  <c r="M28" i="14"/>
  <c r="S31" i="14"/>
  <c r="L6" i="14"/>
  <c r="L5" i="14"/>
  <c r="N11" i="14"/>
  <c r="O12" i="14"/>
  <c r="R21" i="14"/>
  <c r="M29" i="14"/>
  <c r="L23" i="14"/>
  <c r="L3" i="14"/>
  <c r="N10" i="14"/>
  <c r="O19" i="14"/>
  <c r="R23" i="14"/>
  <c r="K13" i="14"/>
  <c r="M27" i="14"/>
  <c r="L10" i="14"/>
  <c r="L8" i="14"/>
  <c r="L24" i="14"/>
  <c r="L15" i="14"/>
  <c r="N12" i="14"/>
  <c r="N13" i="14"/>
  <c r="N14" i="14"/>
  <c r="N15" i="14"/>
  <c r="O6" i="14"/>
  <c r="O7" i="14"/>
  <c r="O8" i="14"/>
  <c r="O25" i="14"/>
  <c r="P2" i="14"/>
  <c r="P3" i="14"/>
  <c r="P4" i="14"/>
  <c r="P13" i="14"/>
  <c r="P6" i="14"/>
  <c r="P7" i="14"/>
  <c r="Q2" i="14"/>
  <c r="Q3" i="14"/>
  <c r="Q4" i="14"/>
  <c r="Q5" i="14"/>
  <c r="Q6" i="14"/>
  <c r="Q7" i="14"/>
  <c r="Q8" i="14"/>
  <c r="Q25" i="14"/>
  <c r="R9" i="14"/>
  <c r="R18" i="14"/>
  <c r="R19" i="14"/>
  <c r="K10" i="14"/>
  <c r="K19" i="14"/>
  <c r="K22" i="14"/>
  <c r="K15" i="14"/>
  <c r="M15" i="14"/>
  <c r="M8" i="14"/>
  <c r="M17" i="14"/>
  <c r="S17" i="14"/>
  <c r="S26" i="14"/>
  <c r="S27" i="14"/>
  <c r="S28" i="14"/>
  <c r="S29" i="14"/>
  <c r="L16" i="14"/>
  <c r="N16" i="14"/>
  <c r="L2" i="14"/>
  <c r="L14" i="14"/>
  <c r="L9" i="14"/>
  <c r="L11" i="14"/>
  <c r="L12" i="14"/>
  <c r="L13" i="14"/>
  <c r="N17" i="14"/>
  <c r="N18" i="14"/>
  <c r="N19" i="14"/>
  <c r="O27" i="14"/>
  <c r="O20" i="14"/>
  <c r="O13" i="14"/>
  <c r="P16" i="14"/>
  <c r="R28" i="14"/>
  <c r="R29" i="14"/>
  <c r="R30" i="14"/>
  <c r="R31" i="14"/>
  <c r="K24" i="14"/>
  <c r="K21" i="14"/>
  <c r="K28" i="14"/>
  <c r="M6" i="14"/>
  <c r="S2" i="14"/>
  <c r="S3" i="14"/>
  <c r="S4" i="14"/>
  <c r="S5" i="14"/>
  <c r="N24" i="14"/>
  <c r="K3" i="14"/>
  <c r="L22" i="14"/>
  <c r="L17" i="14"/>
  <c r="L18" i="14"/>
  <c r="L19" i="14"/>
  <c r="L20" i="14"/>
  <c r="L21" i="14"/>
  <c r="N25" i="14"/>
  <c r="N26" i="14"/>
  <c r="N27" i="14"/>
  <c r="O9" i="14"/>
  <c r="O28" i="14"/>
  <c r="O21" i="14"/>
  <c r="P24" i="14"/>
  <c r="P12" i="14"/>
  <c r="Q9" i="14"/>
  <c r="R2" i="14"/>
  <c r="R3" i="14"/>
  <c r="K29" i="14"/>
  <c r="K6" i="14"/>
  <c r="K12" i="14"/>
  <c r="M14" i="14"/>
  <c r="M30" i="14"/>
  <c r="S10" i="14"/>
  <c r="S11" i="14"/>
  <c r="S12" i="14"/>
  <c r="S13" i="14"/>
  <c r="L30" i="14"/>
  <c r="L25" i="14"/>
  <c r="L26" i="14"/>
  <c r="L27" i="14"/>
  <c r="L28" i="14"/>
  <c r="L29" i="14"/>
  <c r="N4" i="14"/>
  <c r="N5" i="14"/>
  <c r="N6" i="14"/>
  <c r="N7" i="14"/>
  <c r="N8" i="14"/>
  <c r="O17" i="14"/>
  <c r="O29" i="14"/>
  <c r="P5" i="14"/>
  <c r="P20" i="14"/>
  <c r="Q17" i="14"/>
  <c r="R10" i="14"/>
  <c r="R11" i="14"/>
  <c r="K2" i="14"/>
  <c r="K11" i="14"/>
  <c r="K14" i="14"/>
  <c r="K7" i="14"/>
  <c r="M7" i="14"/>
  <c r="M22" i="14"/>
  <c r="M9" i="14"/>
  <c r="S9" i="14"/>
  <c r="S18" i="14"/>
  <c r="S19" i="14"/>
  <c r="S20" i="14"/>
  <c r="S21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" authorId="0" shapeId="0" xr:uid="{E92F0DFE-FB70-314B-B617-647C899EDA7F}">
      <text>
        <r>
          <rPr>
            <b/>
            <sz val="10"/>
            <color rgb="FF000000"/>
            <rFont val="Microsoft YaHei UI"/>
            <charset val="1"/>
          </rPr>
          <t>邱明玥：</t>
        </r>
        <r>
          <rPr>
            <b/>
            <sz val="10"/>
            <color rgb="FF000000"/>
            <rFont val="Microsoft YaHei UI"/>
            <charset val="1"/>
          </rPr>
          <t xml:space="preserve">
</t>
        </r>
        <r>
          <rPr>
            <b/>
            <sz val="10"/>
            <color rgb="FF000000"/>
            <rFont val="Microsoft YaHei UI"/>
            <charset val="1"/>
          </rPr>
          <t>下拉列表更改日期</t>
        </r>
        <r>
          <rPr>
            <b/>
            <sz val="10"/>
            <color rgb="FF000000"/>
            <rFont val="Microsoft YaHei UI"/>
            <charset val="1"/>
          </rPr>
          <t>(</t>
        </r>
        <r>
          <rPr>
            <b/>
            <sz val="10"/>
            <color rgb="FF000000"/>
            <rFont val="Microsoft YaHei UI"/>
            <charset val="1"/>
          </rPr>
          <t>季度末日历日</t>
        </r>
        <r>
          <rPr>
            <b/>
            <sz val="10"/>
            <color rgb="FF000000"/>
            <rFont val="Microsoft YaHei UI"/>
            <charset val="1"/>
          </rPr>
          <t>)</t>
        </r>
      </text>
    </comment>
    <comment ref="A32" authorId="0" shapeId="0" xr:uid="{8DBF86E4-B42A-F44B-8B5F-CE9E8276A734}">
      <text>
        <r>
          <rPr>
            <b/>
            <sz val="10"/>
            <color rgb="FF000000"/>
            <rFont val="Microsoft YaHei UI"/>
            <charset val="1"/>
          </rPr>
          <t>邱明玥：下拉列表更改日期</t>
        </r>
        <r>
          <rPr>
            <b/>
            <sz val="10"/>
            <color rgb="FF000000"/>
            <rFont val="Microsoft YaHei UI"/>
            <charset val="1"/>
          </rPr>
          <t>(</t>
        </r>
        <r>
          <rPr>
            <b/>
            <sz val="10"/>
            <color rgb="FF000000"/>
            <rFont val="Microsoft YaHei UI"/>
            <charset val="1"/>
          </rPr>
          <t>季度末日历日</t>
        </r>
        <r>
          <rPr>
            <b/>
            <sz val="10"/>
            <color rgb="FF000000"/>
            <rFont val="Microsoft YaHei UI"/>
            <charset val="1"/>
          </rPr>
          <t>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" authorId="0" shapeId="0" xr:uid="{CE06696B-761A-344B-879D-321BF5B1B04A}">
      <text>
        <r>
          <rPr>
            <b/>
            <sz val="10"/>
            <color rgb="FF000000"/>
            <rFont val="Microsoft YaHei UI"/>
            <charset val="1"/>
          </rPr>
          <t>邱明玥</t>
        </r>
        <r>
          <rPr>
            <b/>
            <sz val="10"/>
            <color rgb="FF000000"/>
            <rFont val="Microsoft YaHei UI"/>
            <charset val="1"/>
          </rPr>
          <t>:</t>
        </r>
        <r>
          <rPr>
            <sz val="10"/>
            <color rgb="FF000000"/>
            <rFont val="Microsoft YaHei UI"/>
            <charset val="1"/>
          </rPr>
          <t xml:space="preserve">
</t>
        </r>
        <r>
          <rPr>
            <sz val="10"/>
            <color rgb="FF000000"/>
            <rFont val="Microsoft YaHei UI"/>
            <charset val="1"/>
          </rPr>
          <t>下拉列表更改行业</t>
        </r>
        <r>
          <rPr>
            <sz val="10"/>
            <color rgb="FF000000"/>
            <rFont val="Microsoft YaHei UI"/>
            <charset val="1"/>
          </rPr>
          <t>(</t>
        </r>
        <r>
          <rPr>
            <sz val="10"/>
            <color rgb="FF000000"/>
            <rFont val="Microsoft YaHei UI"/>
            <charset val="1"/>
          </rPr>
          <t>中信一级）</t>
        </r>
      </text>
    </comment>
    <comment ref="A11" authorId="0" shapeId="0" xr:uid="{0E474B07-E8B3-9045-9CA9-DF0AFF4B8734}">
      <text>
        <r>
          <rPr>
            <b/>
            <sz val="10"/>
            <color rgb="FF000000"/>
            <rFont val="Microsoft YaHei UI"/>
            <charset val="1"/>
          </rPr>
          <t>邱明玥</t>
        </r>
        <r>
          <rPr>
            <b/>
            <sz val="10"/>
            <color rgb="FF000000"/>
            <rFont val="Microsoft YaHei UI"/>
            <charset val="1"/>
          </rPr>
          <t>:</t>
        </r>
        <r>
          <rPr>
            <sz val="10"/>
            <color rgb="FF000000"/>
            <rFont val="Microsoft YaHei UI"/>
            <charset val="1"/>
          </rPr>
          <t xml:space="preserve">
</t>
        </r>
        <r>
          <rPr>
            <sz val="10"/>
            <color rgb="FF000000"/>
            <rFont val="Microsoft YaHei UI"/>
            <charset val="1"/>
          </rPr>
          <t>下拉列表更改行业</t>
        </r>
        <r>
          <rPr>
            <sz val="10"/>
            <color rgb="FF000000"/>
            <rFont val="Microsoft YaHei UI"/>
            <charset val="1"/>
          </rPr>
          <t>(</t>
        </r>
        <r>
          <rPr>
            <sz val="10"/>
            <color rgb="FF000000"/>
            <rFont val="Microsoft YaHei UI"/>
            <charset val="1"/>
          </rPr>
          <t>中信一级）</t>
        </r>
      </text>
    </comment>
  </commentList>
</comments>
</file>

<file path=xl/sharedStrings.xml><?xml version="1.0" encoding="utf-8"?>
<sst xmlns="http://schemas.openxmlformats.org/spreadsheetml/2006/main" count="716" uniqueCount="86">
  <si>
    <t>CI005001.WI</t>
  </si>
  <si>
    <t>CI005002.WI</t>
  </si>
  <si>
    <t>CI005003.WI</t>
  </si>
  <si>
    <t>CI005004.WI</t>
  </si>
  <si>
    <t>CI005005.WI</t>
  </si>
  <si>
    <t>CI005006.WI</t>
  </si>
  <si>
    <t>CI005007.WI</t>
  </si>
  <si>
    <t>CI005008.WI</t>
  </si>
  <si>
    <t>CI005009.WI</t>
  </si>
  <si>
    <t>CI005010.WI</t>
  </si>
  <si>
    <t>CI005011.WI</t>
  </si>
  <si>
    <t>CI005012.WI</t>
  </si>
  <si>
    <t>CI005013.WI</t>
  </si>
  <si>
    <t>CI005014.WI</t>
  </si>
  <si>
    <t>CI005015.WI</t>
  </si>
  <si>
    <t>CI005016.WI</t>
  </si>
  <si>
    <t>CI005017.WI</t>
  </si>
  <si>
    <t>CI005018.WI</t>
  </si>
  <si>
    <t>CI005019.WI</t>
  </si>
  <si>
    <t>CI005020.WI</t>
  </si>
  <si>
    <t>CI005021.WI</t>
  </si>
  <si>
    <t>CI005022.WI</t>
  </si>
  <si>
    <t>CI005023.WI</t>
  </si>
  <si>
    <t>CI005024.WI</t>
  </si>
  <si>
    <t>CI005025.WI</t>
  </si>
  <si>
    <t>CI005026.WI</t>
  </si>
  <si>
    <t>CI005027.WI</t>
  </si>
  <si>
    <t>CI005028.WI</t>
  </si>
  <si>
    <t>CI005029.WI</t>
  </si>
  <si>
    <t>CI005030.WI</t>
  </si>
  <si>
    <t>总资产周转率</t>
  </si>
  <si>
    <t>营收同比</t>
  </si>
  <si>
    <t>归母净利润同比</t>
  </si>
  <si>
    <t>资产负债率</t>
  </si>
  <si>
    <t>ROE</t>
  </si>
  <si>
    <t>ROA</t>
    <phoneticPr fontId="2" type="noConversion"/>
  </si>
  <si>
    <t>销售毛利率</t>
    <phoneticPr fontId="2" type="noConversion"/>
  </si>
  <si>
    <t>销售净利率</t>
    <phoneticPr fontId="2" type="noConversion"/>
  </si>
  <si>
    <t>营收同比</t>
    <phoneticPr fontId="2" type="noConversion"/>
  </si>
  <si>
    <t>归母净利润同比</t>
    <phoneticPr fontId="2" type="noConversion"/>
  </si>
  <si>
    <t>ROE</t>
    <phoneticPr fontId="2" type="noConversion"/>
  </si>
  <si>
    <t>资产负债率</t>
    <phoneticPr fontId="2" type="noConversion"/>
  </si>
  <si>
    <t>总资产周转率</t>
    <phoneticPr fontId="2" type="noConversion"/>
  </si>
  <si>
    <t>石油石化</t>
  </si>
  <si>
    <t>煤炭</t>
  </si>
  <si>
    <t>有色金属</t>
  </si>
  <si>
    <t>电力及公用事业</t>
  </si>
  <si>
    <t>钢铁</t>
  </si>
  <si>
    <t>基础化工</t>
  </si>
  <si>
    <t>建筑</t>
  </si>
  <si>
    <t>建材</t>
  </si>
  <si>
    <t>轻工制造</t>
  </si>
  <si>
    <t>机械</t>
  </si>
  <si>
    <t>电力设备及新能源</t>
  </si>
  <si>
    <t>国防军工</t>
  </si>
  <si>
    <t>汽车</t>
  </si>
  <si>
    <t>商贸零售</t>
  </si>
  <si>
    <t>消费者服务</t>
  </si>
  <si>
    <t>家电</t>
  </si>
  <si>
    <t>纺织服装</t>
  </si>
  <si>
    <t>医药</t>
  </si>
  <si>
    <t>食品饮料</t>
  </si>
  <si>
    <t>农林牧渔</t>
  </si>
  <si>
    <t>银行</t>
  </si>
  <si>
    <t>非银行金融</t>
  </si>
  <si>
    <t>房地产</t>
  </si>
  <si>
    <t>交通运输</t>
  </si>
  <si>
    <t>电子</t>
  </si>
  <si>
    <t>通信</t>
  </si>
  <si>
    <t>计算机</t>
  </si>
  <si>
    <t>传媒</t>
  </si>
  <si>
    <t>综合</t>
  </si>
  <si>
    <t>综合金融</t>
  </si>
  <si>
    <t>ROA</t>
  </si>
  <si>
    <t>销售毛利率</t>
  </si>
  <si>
    <t>销售净利率</t>
  </si>
  <si>
    <t>营业周期倒数</t>
    <phoneticPr fontId="2" type="noConversion"/>
  </si>
  <si>
    <t>营收同比变动</t>
  </si>
  <si>
    <t>归母净利润同比变动</t>
  </si>
  <si>
    <t>ROA变动</t>
  </si>
  <si>
    <t>ROE变动</t>
  </si>
  <si>
    <t>销售毛利率变动</t>
  </si>
  <si>
    <t>销售净利率变动</t>
  </si>
  <si>
    <t>资产负债率变动</t>
  </si>
  <si>
    <t>总资产周转率变动</t>
  </si>
  <si>
    <t>营业周期倒数变动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</si>
</sst>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"/>
    <numFmt numFmtId="177" formatCode="###,###,##0.0000"/>
    <numFmt numFmtId="178" formatCode="0.0000"/>
    <numFmt numFmtId="179" formatCode="0.00_);[Red]\(0.00\)"/>
  </numFmts>
  <fonts count="9">
    <font>
      <sz val="12"/>
      <color theme="1"/>
      <name val="等线"/>
      <family val="2"/>
      <scheme val="minor"/>
    </font>
    <font>
      <sz val="12"/>
      <color rgb="FFFF0000"/>
      <name val="等线"/>
      <family val="2"/>
      <scheme val="minor"/>
    </font>
    <font>
      <sz val="9"/>
      <name val="等线"/>
      <family val="3"/>
      <charset val="134"/>
      <scheme val="minor"/>
    </font>
    <font>
      <u/>
      <sz val="12"/>
      <color theme="10"/>
      <name val="等线"/>
      <family val="2"/>
      <scheme val="minor"/>
    </font>
    <font>
      <b/>
      <sz val="12"/>
      <color theme="1"/>
      <name val="等线"/>
      <family val="4"/>
      <charset val="134"/>
      <scheme val="minor"/>
    </font>
    <font>
      <b/>
      <sz val="12"/>
      <color rgb="FFFF0000"/>
      <name val="等线"/>
      <family val="4"/>
      <charset val="134"/>
      <scheme val="minor"/>
    </font>
    <font>
      <b/>
      <sz val="10"/>
      <color rgb="FF000000"/>
      <name val="Microsoft YaHei UI"/>
      <charset val="1"/>
    </font>
    <font>
      <sz val="10"/>
      <color rgb="FF000000"/>
      <name val="Microsoft YaHei UI"/>
      <charset val="1"/>
    </font>
    <font>
      <b/>
      <u/>
      <sz val="12"/>
      <color theme="10"/>
      <name val="等线"/>
      <family val="4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176" fontId="1" fillId="0" borderId="0" xfId="0" applyNumberFormat="1" applyFont="1"/>
    <xf numFmtId="177" fontId="0" fillId="2" borderId="0" xfId="0" applyNumberFormat="1" applyFill="1"/>
    <xf numFmtId="0" fontId="3" fillId="2" borderId="0" xfId="1" applyFill="1"/>
    <xf numFmtId="14" fontId="4" fillId="0" borderId="0" xfId="0" applyNumberFormat="1" applyFont="1"/>
    <xf numFmtId="49" fontId="4" fillId="0" borderId="0" xfId="0" applyNumberFormat="1" applyFont="1"/>
    <xf numFmtId="0" fontId="4" fillId="0" borderId="0" xfId="0" applyFont="1"/>
    <xf numFmtId="176" fontId="5" fillId="0" borderId="0" xfId="0" applyNumberFormat="1" applyFont="1"/>
    <xf numFmtId="176" fontId="4" fillId="0" borderId="0" xfId="0" applyNumberFormat="1" applyFont="1"/>
    <xf numFmtId="14" fontId="4" fillId="2" borderId="0" xfId="0" applyNumberFormat="1" applyFont="1" applyFill="1"/>
    <xf numFmtId="14" fontId="3" fillId="2" borderId="0" xfId="1" applyNumberFormat="1" applyFill="1"/>
    <xf numFmtId="14" fontId="0" fillId="2" borderId="0" xfId="0" applyNumberFormat="1" applyFill="1"/>
    <xf numFmtId="0" fontId="3" fillId="0" borderId="0" xfId="1"/>
    <xf numFmtId="0" fontId="4" fillId="2" borderId="0" xfId="0" applyFont="1" applyFill="1"/>
    <xf numFmtId="178" fontId="0" fillId="0" borderId="0" xfId="0" applyNumberFormat="1"/>
    <xf numFmtId="0" fontId="3" fillId="0" borderId="0" xfId="1" applyNumberFormat="1"/>
    <xf numFmtId="0" fontId="0" fillId="0" borderId="0" xfId="0" applyNumberFormat="1"/>
    <xf numFmtId="0" fontId="0" fillId="0" borderId="0" xfId="0" applyBorder="1"/>
    <xf numFmtId="178" fontId="0" fillId="0" borderId="0" xfId="0" applyNumberFormat="1" applyBorder="1"/>
    <xf numFmtId="0" fontId="0" fillId="0" borderId="2" xfId="0" applyBorder="1"/>
    <xf numFmtId="0" fontId="0" fillId="0" borderId="4" xfId="0" applyBorder="1"/>
    <xf numFmtId="178" fontId="0" fillId="0" borderId="4" xfId="0" applyNumberFormat="1" applyBorder="1"/>
    <xf numFmtId="14" fontId="4" fillId="2" borderId="0" xfId="0" applyNumberFormat="1" applyFont="1" applyFill="1" applyAlignment="1">
      <alignment horizontal="center" vertical="center"/>
    </xf>
    <xf numFmtId="49" fontId="8" fillId="0" borderId="0" xfId="1" applyNumberFormat="1" applyFont="1" applyAlignment="1">
      <alignment horizontal="center" vertical="center"/>
    </xf>
    <xf numFmtId="0" fontId="8" fillId="0" borderId="0" xfId="1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9" fontId="0" fillId="0" borderId="2" xfId="0" applyNumberFormat="1" applyBorder="1"/>
    <xf numFmtId="179" fontId="0" fillId="0" borderId="0" xfId="0" applyNumberFormat="1" applyBorder="1"/>
    <xf numFmtId="179" fontId="0" fillId="0" borderId="5" xfId="0" applyNumberFormat="1" applyBorder="1"/>
    <xf numFmtId="179" fontId="0" fillId="0" borderId="4" xfId="0" applyNumberFormat="1" applyBorder="1"/>
    <xf numFmtId="49" fontId="8" fillId="0" borderId="1" xfId="1" applyNumberFormat="1" applyFont="1" applyBorder="1" applyAlignment="1">
      <alignment horizontal="center" vertical="center"/>
    </xf>
    <xf numFmtId="0" fontId="8" fillId="0" borderId="1" xfId="1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4" fillId="2" borderId="7" xfId="0" applyNumberFormat="1" applyFont="1" applyFill="1" applyBorder="1" applyAlignment="1">
      <alignment horizontal="center" vertical="center"/>
    </xf>
    <xf numFmtId="49" fontId="4" fillId="0" borderId="6" xfId="0" applyNumberFormat="1" applyFont="1" applyBorder="1"/>
    <xf numFmtId="49" fontId="4" fillId="0" borderId="8" xfId="0" applyNumberFormat="1" applyFont="1" applyBorder="1"/>
    <xf numFmtId="49" fontId="4" fillId="0" borderId="7" xfId="0" applyNumberFormat="1" applyFont="1" applyBorder="1"/>
    <xf numFmtId="0" fontId="4" fillId="0" borderId="6" xfId="0" applyFont="1" applyBorder="1"/>
    <xf numFmtId="14" fontId="4" fillId="2" borderId="6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qiumingyue/Library/Group%20Containers/UBF8T346G9.Office/User%20Content.localized/Add-ins/windfunc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fa_netturndays"/>
      <definedName name="s_fa_debttoassets"/>
      <definedName name="s_fa_dupont_faturnover"/>
      <definedName name="s_fa_grossprofitmargin"/>
      <definedName name="s_fa_netprofitmargin"/>
      <definedName name="s_fa_roa"/>
      <definedName name="s_fa_roe"/>
      <definedName name="s_fa_yoy_or"/>
      <definedName name="s_fa_yoynetprofit"/>
      <definedName name="TDay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94FCC-0230-0547-8510-DA8CA04ADC98}">
  <sheetPr codeName="Sheet7">
    <tabColor rgb="FFFFC000"/>
  </sheetPr>
  <dimension ref="A1:S62"/>
  <sheetViews>
    <sheetView zoomScale="67" workbookViewId="0">
      <pane xSplit="10" ySplit="31" topLeftCell="K32" activePane="bottomRight" state="frozen"/>
      <selection pane="topRight" activeCell="K1" sqref="K1"/>
      <selection pane="bottomLeft" activeCell="A32" sqref="A32"/>
      <selection pane="bottomRight" activeCell="L34" sqref="L34"/>
    </sheetView>
  </sheetViews>
  <sheetFormatPr baseColWidth="10" defaultRowHeight="16"/>
  <cols>
    <col min="1" max="1" width="16.83203125" style="41" customWidth="1"/>
    <col min="2" max="2" width="10" bestFit="1" customWidth="1"/>
    <col min="3" max="3" width="14.5" customWidth="1"/>
    <col min="4" max="5" width="8" bestFit="1" customWidth="1"/>
    <col min="6" max="8" width="12" bestFit="1" customWidth="1"/>
    <col min="9" max="9" width="12.83203125" customWidth="1"/>
    <col min="10" max="10" width="12.5" style="19" customWidth="1"/>
    <col min="11" max="11" width="14.1640625" style="22" bestFit="1" customWidth="1"/>
    <col min="12" max="12" width="20" customWidth="1"/>
    <col min="13" max="13" width="10.1640625" bestFit="1" customWidth="1"/>
    <col min="14" max="14" width="9.83203125" bestFit="1" customWidth="1"/>
    <col min="15" max="17" width="16.33203125" bestFit="1" customWidth="1"/>
    <col min="18" max="19" width="18.6640625" bestFit="1" customWidth="1"/>
  </cols>
  <sheetData>
    <row r="1" spans="1:19" s="36" customFormat="1" ht="17" thickBot="1">
      <c r="A1" s="37">
        <v>44377</v>
      </c>
      <c r="B1" s="33" t="s">
        <v>38</v>
      </c>
      <c r="C1" s="33" t="s">
        <v>39</v>
      </c>
      <c r="D1" s="33" t="s">
        <v>35</v>
      </c>
      <c r="E1" s="33" t="s">
        <v>40</v>
      </c>
      <c r="F1" s="33" t="s">
        <v>36</v>
      </c>
      <c r="G1" s="33" t="s">
        <v>37</v>
      </c>
      <c r="H1" s="33" t="s">
        <v>41</v>
      </c>
      <c r="I1" s="33" t="s">
        <v>42</v>
      </c>
      <c r="J1" s="34" t="s">
        <v>76</v>
      </c>
      <c r="K1" s="35" t="s">
        <v>77</v>
      </c>
      <c r="L1" s="36" t="s">
        <v>78</v>
      </c>
      <c r="M1" s="36" t="s">
        <v>79</v>
      </c>
      <c r="N1" s="36" t="s">
        <v>80</v>
      </c>
      <c r="O1" s="36" t="s">
        <v>81</v>
      </c>
      <c r="P1" s="36" t="s">
        <v>82</v>
      </c>
      <c r="Q1" s="36" t="s">
        <v>83</v>
      </c>
      <c r="R1" s="36" t="s">
        <v>84</v>
      </c>
      <c r="S1" s="36" t="s">
        <v>85</v>
      </c>
    </row>
    <row r="2" spans="1:19">
      <c r="A2" s="38" t="s">
        <v>43</v>
      </c>
      <c r="B2">
        <f ca="1">HLOOKUP($A$1,营收同比!1:31,2,FALSE)</f>
        <v>27.225200000000001</v>
      </c>
      <c r="C2">
        <f ca="1">HLOOKUP($A$1,归母净利润同比!1:31,2,FALSE)</f>
        <v>428.47910000000002</v>
      </c>
      <c r="D2">
        <f ca="1">HLOOKUP($A$1,ROA!1:31,2,FALSE)</f>
        <v>2.7844000000000002</v>
      </c>
      <c r="E2">
        <f ca="1">HLOOKUP($A$1,ROE!1:31,2,FALSE)</f>
        <v>5.2481</v>
      </c>
      <c r="F2">
        <f ca="1">HLOOKUP($A$1,销售毛利率!1:31,2,FALSE)</f>
        <v>19.475999999999999</v>
      </c>
      <c r="G2">
        <f ca="1">HLOOKUP($A$1,销售净利率!1:31,2,FALSE)</f>
        <v>5.2272999999999996</v>
      </c>
      <c r="H2">
        <f ca="1">HLOOKUP($A$1,资产负债率!1:31,2,FALSE)</f>
        <v>51.6509</v>
      </c>
      <c r="I2">
        <f ca="1">HLOOKUP($A$1,总资产周转率!1:31,2,FALSE)</f>
        <v>0.53269999999999995</v>
      </c>
      <c r="J2" s="17">
        <f ca="1">HLOOKUP($A$1,营业周期倒数!1:31,2,FALSE)</f>
        <v>8.9493466976910685E-2</v>
      </c>
      <c r="K2" s="29">
        <f ca="1">B2-B33</f>
        <v>15.766000000000002</v>
      </c>
      <c r="L2" s="30">
        <f t="shared" ref="L2:S17" ca="1" si="0">C2-C33</f>
        <v>132.0324</v>
      </c>
      <c r="M2" s="30">
        <f t="shared" ca="1" si="0"/>
        <v>1.4719000000000002</v>
      </c>
      <c r="N2" s="30">
        <f t="shared" ca="1" si="0"/>
        <v>2.6758999999999999</v>
      </c>
      <c r="O2" s="30">
        <f t="shared" ca="1" si="0"/>
        <v>-1.7182999999999993</v>
      </c>
      <c r="P2" s="30">
        <f t="shared" ca="1" si="0"/>
        <v>-7.5900000000000745E-2</v>
      </c>
      <c r="Q2" s="30">
        <f t="shared" ca="1" si="0"/>
        <v>0.82719999999999771</v>
      </c>
      <c r="R2" s="30">
        <f t="shared" ca="1" si="0"/>
        <v>0.28519999999999995</v>
      </c>
      <c r="S2" s="30">
        <f t="shared" ca="1" si="0"/>
        <v>3.4393905953124804E-3</v>
      </c>
    </row>
    <row r="3" spans="1:19">
      <c r="A3" s="38" t="s">
        <v>44</v>
      </c>
      <c r="B3">
        <f ca="1">HLOOKUP($A$1,营收同比!1:31,3,FALSE)</f>
        <v>22.456</v>
      </c>
      <c r="C3">
        <f ca="1">HLOOKUP($A$1,归母净利润同比!1:31,3,FALSE)</f>
        <v>64.678100000000001</v>
      </c>
      <c r="D3">
        <f ca="1">HLOOKUP($A$1,ROA!1:31,3,FALSE)</f>
        <v>4.0339</v>
      </c>
      <c r="E3">
        <f ca="1">HLOOKUP($A$1,ROE!1:31,3,FALSE)</f>
        <v>7.7988</v>
      </c>
      <c r="F3">
        <f ca="1">HLOOKUP($A$1,销售毛利率!1:31,3,FALSE)</f>
        <v>27.5291</v>
      </c>
      <c r="G3">
        <f ca="1">HLOOKUP($A$1,销售净利率!1:31,3,FALSE)</f>
        <v>14.182600000000001</v>
      </c>
      <c r="H3">
        <f ca="1">HLOOKUP($A$1,资产负债率!1:31,3,FALSE)</f>
        <v>50.403599999999997</v>
      </c>
      <c r="I3">
        <f ca="1">HLOOKUP($A$1,总资产周转率!1:31,3,FALSE)</f>
        <v>0.28439999999999999</v>
      </c>
      <c r="J3" s="17">
        <f ca="1">HLOOKUP($A$1,营业周期倒数!1:31,3,FALSE)</f>
        <v>5.3734551316496508E-2</v>
      </c>
      <c r="K3" s="29">
        <f t="shared" ref="K3:K31" ca="1" si="1">B3-B34</f>
        <v>-2.8478999999999992</v>
      </c>
      <c r="L3" s="30">
        <f t="shared" ca="1" si="0"/>
        <v>3.0433999999999983</v>
      </c>
      <c r="M3" s="30">
        <f t="shared" ca="1" si="0"/>
        <v>2.2090000000000001</v>
      </c>
      <c r="N3" s="30">
        <f t="shared" ca="1" si="0"/>
        <v>4.3642000000000003</v>
      </c>
      <c r="O3" s="30">
        <f t="shared" ca="1" si="0"/>
        <v>0.24680000000000035</v>
      </c>
      <c r="P3" s="30">
        <f t="shared" ca="1" si="0"/>
        <v>0.87150000000000105</v>
      </c>
      <c r="Q3" s="30">
        <f t="shared" ca="1" si="0"/>
        <v>1.6956999999999951</v>
      </c>
      <c r="R3" s="30">
        <f t="shared" ca="1" si="0"/>
        <v>0.14729999999999999</v>
      </c>
      <c r="S3" s="30">
        <f t="shared" ca="1" si="0"/>
        <v>3.8706796860476372E-3</v>
      </c>
    </row>
    <row r="4" spans="1:19">
      <c r="A4" s="38" t="s">
        <v>45</v>
      </c>
      <c r="B4">
        <f ca="1">HLOOKUP($A$1,营收同比!1:31,4,FALSE)</f>
        <v>41.335599999999999</v>
      </c>
      <c r="C4">
        <f ca="1">HLOOKUP($A$1,归母净利润同比!1:31,4,FALSE)</f>
        <v>260.52170000000001</v>
      </c>
      <c r="D4">
        <f ca="1">HLOOKUP($A$1,ROA!1:31,4,FALSE)</f>
        <v>2.8994</v>
      </c>
      <c r="E4">
        <f ca="1">HLOOKUP($A$1,ROE!1:31,4,FALSE)</f>
        <v>6.3075999999999999</v>
      </c>
      <c r="F4">
        <f ca="1">HLOOKUP($A$1,销售毛利率!1:31,4,FALSE)</f>
        <v>10.8005</v>
      </c>
      <c r="G4">
        <f ca="1">HLOOKUP($A$1,销售净利率!1:31,4,FALSE)</f>
        <v>4.5389999999999997</v>
      </c>
      <c r="H4">
        <f ca="1">HLOOKUP($A$1,资产负债率!1:31,4,FALSE)</f>
        <v>55.039700000000003</v>
      </c>
      <c r="I4">
        <f ca="1">HLOOKUP($A$1,总资产周转率!1:31,4,FALSE)</f>
        <v>0.63880000000000003</v>
      </c>
      <c r="J4" s="17">
        <f ca="1">HLOOKUP($A$1,营业周期倒数!1:31,4,FALSE)</f>
        <v>8.3081319996012093E-2</v>
      </c>
      <c r="K4" s="29">
        <f t="shared" ca="1" si="1"/>
        <v>-5.7657000000000025</v>
      </c>
      <c r="L4" s="30">
        <f t="shared" ca="1" si="0"/>
        <v>-54.626300000000015</v>
      </c>
      <c r="M4" s="30">
        <f t="shared" ca="1" si="0"/>
        <v>1.7676000000000001</v>
      </c>
      <c r="N4" s="30">
        <f t="shared" ca="1" si="0"/>
        <v>3.8129999999999997</v>
      </c>
      <c r="O4" s="30">
        <f t="shared" ca="1" si="0"/>
        <v>0.56509999999999927</v>
      </c>
      <c r="P4" s="30">
        <f t="shared" ca="1" si="0"/>
        <v>0.64999999999999991</v>
      </c>
      <c r="Q4" s="30">
        <f t="shared" ca="1" si="0"/>
        <v>-1.1788999999999987</v>
      </c>
      <c r="R4" s="30">
        <f t="shared" ca="1" si="0"/>
        <v>0.34780000000000005</v>
      </c>
      <c r="S4" s="30">
        <f t="shared" ca="1" si="0"/>
        <v>5.8200765535601218E-3</v>
      </c>
    </row>
    <row r="5" spans="1:19">
      <c r="A5" s="38" t="s">
        <v>46</v>
      </c>
      <c r="B5">
        <f ca="1">HLOOKUP($A$1,营收同比!1:31,5,FALSE)</f>
        <v>19.777000000000001</v>
      </c>
      <c r="C5">
        <f ca="1">HLOOKUP($A$1,归母净利润同比!1:31,5,FALSE)</f>
        <v>1.8143</v>
      </c>
      <c r="D5">
        <f ca="1">HLOOKUP($A$1,ROA!1:31,5,FALSE)</f>
        <v>1.6133999999999999</v>
      </c>
      <c r="E5">
        <f ca="1">HLOOKUP($A$1,ROE!1:31,5,FALSE)</f>
        <v>4.0720999999999998</v>
      </c>
      <c r="F5">
        <f ca="1">HLOOKUP($A$1,销售毛利率!1:31,5,FALSE)</f>
        <v>19.804200000000002</v>
      </c>
      <c r="G5">
        <f ca="1">HLOOKUP($A$1,销售净利率!1:31,5,FALSE)</f>
        <v>10.1393</v>
      </c>
      <c r="H5">
        <f ca="1">HLOOKUP($A$1,资产负债率!1:31,5,FALSE)</f>
        <v>61.088700000000003</v>
      </c>
      <c r="I5">
        <f ca="1">HLOOKUP($A$1,总资产周转率!1:31,5,FALSE)</f>
        <v>0.15939999999999999</v>
      </c>
      <c r="J5" s="17">
        <f ca="1">HLOOKUP($A$1,营业周期倒数!1:31,5,FALSE)</f>
        <v>1.4766402889489718E-2</v>
      </c>
      <c r="K5" s="29">
        <f t="shared" ca="1" si="1"/>
        <v>-6.2665000000000006</v>
      </c>
      <c r="L5" s="30">
        <f t="shared" ca="1" si="0"/>
        <v>-47.174299999999995</v>
      </c>
      <c r="M5" s="30">
        <f t="shared" ca="1" si="0"/>
        <v>0.82939999999999992</v>
      </c>
      <c r="N5" s="30">
        <f t="shared" ca="1" si="0"/>
        <v>2.1652999999999998</v>
      </c>
      <c r="O5" s="30">
        <f t="shared" ca="1" si="0"/>
        <v>-6.8899999999999295E-2</v>
      </c>
      <c r="P5" s="30">
        <f t="shared" ca="1" si="0"/>
        <v>0.18180000000000085</v>
      </c>
      <c r="Q5" s="30">
        <f t="shared" ca="1" si="0"/>
        <v>0.60079999999999956</v>
      </c>
      <c r="R5" s="30">
        <f t="shared" ca="1" si="0"/>
        <v>8.0499999999999988E-2</v>
      </c>
      <c r="S5" s="30">
        <f t="shared" ca="1" si="0"/>
        <v>-3.3917756509762101E-4</v>
      </c>
    </row>
    <row r="6" spans="1:19">
      <c r="A6" s="38" t="s">
        <v>47</v>
      </c>
      <c r="B6">
        <f ca="1">HLOOKUP($A$1,营收同比!1:31,6,FALSE)</f>
        <v>55.805700000000002</v>
      </c>
      <c r="C6">
        <f ca="1">HLOOKUP($A$1,归母净利润同比!1:31,6,FALSE)</f>
        <v>236.91650000000001</v>
      </c>
      <c r="D6">
        <f ca="1">HLOOKUP($A$1,ROA!1:31,6,FALSE)</f>
        <v>4.0180999999999996</v>
      </c>
      <c r="E6">
        <f ca="1">HLOOKUP($A$1,ROE!1:31,6,FALSE)</f>
        <v>9.2714999999999996</v>
      </c>
      <c r="F6">
        <f ca="1">HLOOKUP($A$1,销售毛利率!1:31,6,FALSE)</f>
        <v>12.6976</v>
      </c>
      <c r="G6">
        <f ca="1">HLOOKUP($A$1,销售净利率!1:31,6,FALSE)</f>
        <v>6.5575000000000001</v>
      </c>
      <c r="H6">
        <f ca="1">HLOOKUP($A$1,资产负债率!1:31,6,FALSE)</f>
        <v>56.425199999999997</v>
      </c>
      <c r="I6">
        <f ca="1">HLOOKUP($A$1,总资产周转率!1:31,6,FALSE)</f>
        <v>0.61299999999999999</v>
      </c>
      <c r="J6" s="17">
        <f ca="1">HLOOKUP($A$1,营业周期倒数!1:31,6,FALSE)</f>
        <v>0.11731030922997512</v>
      </c>
      <c r="K6" s="29">
        <f t="shared" ca="1" si="1"/>
        <v>3.2914999999999992</v>
      </c>
      <c r="L6" s="30">
        <f t="shared" ca="1" si="0"/>
        <v>-11.685599999999994</v>
      </c>
      <c r="M6" s="30">
        <f t="shared" ca="1" si="0"/>
        <v>2.5854999999999997</v>
      </c>
      <c r="N6" s="30">
        <f t="shared" ca="1" si="0"/>
        <v>5.9665999999999997</v>
      </c>
      <c r="O6" s="30">
        <f t="shared" ca="1" si="0"/>
        <v>1.0156999999999989</v>
      </c>
      <c r="P6" s="30">
        <f t="shared" ca="1" si="0"/>
        <v>1.2243000000000004</v>
      </c>
      <c r="Q6" s="30">
        <f t="shared" ca="1" si="0"/>
        <v>-0.22010000000000218</v>
      </c>
      <c r="R6" s="30">
        <f t="shared" ca="1" si="0"/>
        <v>0.34429999999999999</v>
      </c>
      <c r="S6" s="30">
        <f t="shared" ca="1" si="0"/>
        <v>3.4850992224626509E-3</v>
      </c>
    </row>
    <row r="7" spans="1:19">
      <c r="A7" s="38" t="s">
        <v>48</v>
      </c>
      <c r="B7">
        <f ca="1">HLOOKUP($A$1,营收同比!1:31,7,FALSE)</f>
        <v>33.064500000000002</v>
      </c>
      <c r="C7">
        <f ca="1">HLOOKUP($A$1,归母净利润同比!1:31,7,FALSE)</f>
        <v>157.62200000000001</v>
      </c>
      <c r="D7">
        <f ca="1">HLOOKUP($A$1,ROA!1:31,7,FALSE)</f>
        <v>4.5972</v>
      </c>
      <c r="E7">
        <f ca="1">HLOOKUP($A$1,ROE!1:31,7,FALSE)</f>
        <v>8.6410999999999998</v>
      </c>
      <c r="F7">
        <f ca="1">HLOOKUP($A$1,销售毛利率!1:31,7,FALSE)</f>
        <v>24.3446</v>
      </c>
      <c r="G7">
        <f ca="1">HLOOKUP($A$1,销售净利率!1:31,7,FALSE)</f>
        <v>12.447800000000001</v>
      </c>
      <c r="H7">
        <f ca="1">HLOOKUP($A$1,资产负债率!1:31,7,FALSE)</f>
        <v>47.906399999999998</v>
      </c>
      <c r="I7">
        <f ca="1">HLOOKUP($A$1,总资产周转率!1:31,7,FALSE)</f>
        <v>0.36940000000000001</v>
      </c>
      <c r="J7" s="17">
        <f ca="1">HLOOKUP($A$1,营业周期倒数!1:31,7,FALSE)</f>
        <v>2.4513589108122086E-2</v>
      </c>
      <c r="K7" s="29">
        <f t="shared" ca="1" si="1"/>
        <v>-8.4159999999999968</v>
      </c>
      <c r="L7" s="30">
        <f t="shared" ca="1" si="0"/>
        <v>-68.607499999999987</v>
      </c>
      <c r="M7" s="30">
        <f t="shared" ca="1" si="0"/>
        <v>2.6741000000000001</v>
      </c>
      <c r="N7" s="30">
        <f t="shared" ca="1" si="0"/>
        <v>4.8605</v>
      </c>
      <c r="O7" s="30">
        <f t="shared" ca="1" si="0"/>
        <v>0.74709999999999965</v>
      </c>
      <c r="P7" s="30">
        <f t="shared" ca="1" si="0"/>
        <v>1.3210000000000015</v>
      </c>
      <c r="Q7" s="30">
        <f t="shared" ca="1" si="0"/>
        <v>-0.28320000000000078</v>
      </c>
      <c r="R7" s="30">
        <f t="shared" ca="1" si="0"/>
        <v>0.19650000000000001</v>
      </c>
      <c r="S7" s="30">
        <f t="shared" ca="1" si="0"/>
        <v>1.1916058066621313E-3</v>
      </c>
    </row>
    <row r="8" spans="1:19">
      <c r="A8" s="38" t="s">
        <v>49</v>
      </c>
      <c r="B8">
        <f ca="1">HLOOKUP($A$1,营收同比!1:31,8,FALSE)</f>
        <v>29.851900000000001</v>
      </c>
      <c r="C8">
        <f ca="1">HLOOKUP($A$1,归母净利润同比!1:31,8,FALSE)</f>
        <v>32.9345</v>
      </c>
      <c r="D8">
        <f ca="1">HLOOKUP($A$1,ROA!1:31,8,FALSE)</f>
        <v>1.1638999999999999</v>
      </c>
      <c r="E8">
        <f ca="1">HLOOKUP($A$1,ROE!1:31,8,FALSE)</f>
        <v>4.9381000000000004</v>
      </c>
      <c r="F8">
        <f ca="1">HLOOKUP($A$1,销售毛利率!1:31,8,FALSE)</f>
        <v>10.5036</v>
      </c>
      <c r="G8">
        <f ca="1">HLOOKUP($A$1,销售净利率!1:31,8,FALSE)</f>
        <v>3.4655</v>
      </c>
      <c r="H8">
        <f ca="1">HLOOKUP($A$1,资产负债率!1:31,8,FALSE)</f>
        <v>74.484099999999998</v>
      </c>
      <c r="I8">
        <f ca="1">HLOOKUP($A$1,总资产周转率!1:31,8,FALSE)</f>
        <v>0.33610000000000001</v>
      </c>
      <c r="J8" s="17">
        <f ca="1">HLOOKUP($A$1,营业周期倒数!1:31,8,FALSE)</f>
        <v>1.6620378911398424E-2</v>
      </c>
      <c r="K8" s="29">
        <f t="shared" ca="1" si="1"/>
        <v>-24.754599999999996</v>
      </c>
      <c r="L8" s="30">
        <f t="shared" ca="1" si="0"/>
        <v>-38.863299999999995</v>
      </c>
      <c r="M8" s="30">
        <f t="shared" ca="1" si="0"/>
        <v>0.67479999999999996</v>
      </c>
      <c r="N8" s="30">
        <f t="shared" ca="1" si="0"/>
        <v>2.7722000000000002</v>
      </c>
      <c r="O8" s="30">
        <f t="shared" ca="1" si="0"/>
        <v>0.54809999999999981</v>
      </c>
      <c r="P8" s="30">
        <f t="shared" ca="1" si="0"/>
        <v>0.27170000000000005</v>
      </c>
      <c r="Q8" s="30">
        <f t="shared" ca="1" si="0"/>
        <v>0.492999999999995</v>
      </c>
      <c r="R8" s="30">
        <f t="shared" ca="1" si="0"/>
        <v>0.18280000000000002</v>
      </c>
      <c r="S8" s="30">
        <f t="shared" ca="1" si="0"/>
        <v>9.4558695507466345E-4</v>
      </c>
    </row>
    <row r="9" spans="1:19">
      <c r="A9" s="38" t="s">
        <v>50</v>
      </c>
      <c r="B9">
        <f ca="1">HLOOKUP($A$1,营收同比!1:31,9,FALSE)</f>
        <v>25.294499999999999</v>
      </c>
      <c r="C9">
        <f ca="1">HLOOKUP($A$1,归母净利润同比!1:31,9,FALSE)</f>
        <v>30.5015</v>
      </c>
      <c r="D9">
        <f ca="1">HLOOKUP($A$1,ROA!1:31,9,FALSE)</f>
        <v>5.2138999999999998</v>
      </c>
      <c r="E9">
        <f ca="1">HLOOKUP($A$1,ROE!1:31,9,FALSE)</f>
        <v>8.5928000000000004</v>
      </c>
      <c r="F9">
        <f ca="1">HLOOKUP($A$1,销售毛利率!1:31,9,FALSE)</f>
        <v>28.804099999999998</v>
      </c>
      <c r="G9">
        <f ca="1">HLOOKUP($A$1,销售净利率!1:31,9,FALSE)</f>
        <v>15.0525</v>
      </c>
      <c r="H9">
        <f ca="1">HLOOKUP($A$1,资产负债率!1:31,9,FALSE)</f>
        <v>37.963299999999997</v>
      </c>
      <c r="I9">
        <f ca="1">HLOOKUP($A$1,总资产周转率!1:31,9,FALSE)</f>
        <v>0.34639999999999999</v>
      </c>
      <c r="J9" s="17">
        <f ca="1">HLOOKUP($A$1,营业周期倒数!1:31,9,FALSE)</f>
        <v>2.0390020308460228E-2</v>
      </c>
      <c r="K9" s="29">
        <f t="shared" ca="1" si="1"/>
        <v>-34.5062</v>
      </c>
      <c r="L9" s="30">
        <f t="shared" ca="1" si="0"/>
        <v>-63.598800000000004</v>
      </c>
      <c r="M9" s="30">
        <f t="shared" ca="1" si="0"/>
        <v>3.4704999999999995</v>
      </c>
      <c r="N9" s="30">
        <f t="shared" ca="1" si="0"/>
        <v>5.6937000000000006</v>
      </c>
      <c r="O9" s="30">
        <f t="shared" ca="1" si="0"/>
        <v>1.0942999999999969</v>
      </c>
      <c r="P9" s="30">
        <f t="shared" ca="1" si="0"/>
        <v>2.5907999999999998</v>
      </c>
      <c r="Q9" s="30">
        <f t="shared" ca="1" si="0"/>
        <v>0.90929999999999467</v>
      </c>
      <c r="R9" s="30">
        <f t="shared" ca="1" si="0"/>
        <v>0.20649999999999999</v>
      </c>
      <c r="S9" s="30">
        <f t="shared" ca="1" si="0"/>
        <v>2.3832281464567194E-3</v>
      </c>
    </row>
    <row r="10" spans="1:19">
      <c r="A10" s="38" t="s">
        <v>51</v>
      </c>
      <c r="B10">
        <f ca="1">HLOOKUP($A$1,营收同比!1:31,10,FALSE)</f>
        <v>40.658999999999999</v>
      </c>
      <c r="C10">
        <f ca="1">HLOOKUP($A$1,归母净利润同比!1:31,10,FALSE)</f>
        <v>74.182900000000004</v>
      </c>
      <c r="D10">
        <f ca="1">HLOOKUP($A$1,ROA!1:31,10,FALSE)</f>
        <v>3.1890999999999998</v>
      </c>
      <c r="E10">
        <f ca="1">HLOOKUP($A$1,ROE!1:31,10,FALSE)</f>
        <v>6.2432999999999996</v>
      </c>
      <c r="F10">
        <f ca="1">HLOOKUP($A$1,销售毛利率!1:31,10,FALSE)</f>
        <v>24.4605</v>
      </c>
      <c r="G10">
        <f ca="1">HLOOKUP($A$1,销售净利率!1:31,10,FALSE)</f>
        <v>9.0737000000000005</v>
      </c>
      <c r="H10">
        <f ca="1">HLOOKUP($A$1,资产负债率!1:31,10,FALSE)</f>
        <v>48.292099999999998</v>
      </c>
      <c r="I10">
        <f ca="1">HLOOKUP($A$1,总资产周转率!1:31,10,FALSE)</f>
        <v>0.35149999999999998</v>
      </c>
      <c r="J10" s="17">
        <f ca="1">HLOOKUP($A$1,营业周期倒数!1:31,10,FALSE)</f>
        <v>1.9987967243719283E-2</v>
      </c>
      <c r="K10" s="29">
        <f t="shared" ca="1" si="1"/>
        <v>-17.718499999999999</v>
      </c>
      <c r="L10" s="30">
        <f t="shared" ca="1" si="0"/>
        <v>-65.136700000000005</v>
      </c>
      <c r="M10" s="30">
        <f t="shared" ca="1" si="0"/>
        <v>1.6573999999999998</v>
      </c>
      <c r="N10" s="30">
        <f t="shared" ca="1" si="0"/>
        <v>3.2678999999999996</v>
      </c>
      <c r="O10" s="30">
        <f t="shared" ca="1" si="0"/>
        <v>-0.26320000000000121</v>
      </c>
      <c r="P10" s="30">
        <f t="shared" ca="1" si="0"/>
        <v>3.420000000000023E-2</v>
      </c>
      <c r="Q10" s="30">
        <f t="shared" ca="1" si="0"/>
        <v>0.56469999999999487</v>
      </c>
      <c r="R10" s="30">
        <f t="shared" ca="1" si="0"/>
        <v>0.18209999999999998</v>
      </c>
      <c r="S10" s="30">
        <f t="shared" ca="1" si="0"/>
        <v>5.7350735399341532E-4</v>
      </c>
    </row>
    <row r="11" spans="1:19">
      <c r="A11" s="38" t="s">
        <v>52</v>
      </c>
      <c r="B11">
        <f ca="1">HLOOKUP($A$1,营收同比!1:31,11,FALSE)</f>
        <v>33.629600000000003</v>
      </c>
      <c r="C11">
        <f ca="1">HLOOKUP($A$1,归母净利润同比!1:31,11,FALSE)</f>
        <v>46.300600000000003</v>
      </c>
      <c r="D11">
        <f ca="1">HLOOKUP($A$1,ROA!1:31,11,FALSE)</f>
        <v>2.4401000000000002</v>
      </c>
      <c r="E11">
        <f ca="1">HLOOKUP($A$1,ROE!1:31,11,FALSE)</f>
        <v>5.4509999999999996</v>
      </c>
      <c r="F11">
        <f ca="1">HLOOKUP($A$1,销售毛利率!1:31,11,FALSE)</f>
        <v>22.814</v>
      </c>
      <c r="G11">
        <f ca="1">HLOOKUP($A$1,销售净利率!1:31,11,FALSE)</f>
        <v>8.4786999999999999</v>
      </c>
      <c r="H11">
        <f ca="1">HLOOKUP($A$1,资产负债率!1:31,11,FALSE)</f>
        <v>55.217100000000002</v>
      </c>
      <c r="I11">
        <f ca="1">HLOOKUP($A$1,总资产周转率!1:31,11,FALSE)</f>
        <v>0.28799999999999998</v>
      </c>
      <c r="J11" s="17">
        <f ca="1">HLOOKUP($A$1,营业周期倒数!1:31,11,FALSE)</f>
        <v>9.7028407977287588E-3</v>
      </c>
      <c r="K11" s="29">
        <f t="shared" ca="1" si="1"/>
        <v>-18.601599999999998</v>
      </c>
      <c r="L11" s="30">
        <f t="shared" ca="1" si="0"/>
        <v>-137.50819999999999</v>
      </c>
      <c r="M11" s="30">
        <f t="shared" ca="1" si="0"/>
        <v>1.3932000000000002</v>
      </c>
      <c r="N11" s="30">
        <f t="shared" ca="1" si="0"/>
        <v>3.1099999999999994</v>
      </c>
      <c r="O11" s="30">
        <f t="shared" ca="1" si="0"/>
        <v>-0.3122000000000007</v>
      </c>
      <c r="P11" s="30">
        <f t="shared" ca="1" si="0"/>
        <v>0.33159999999999989</v>
      </c>
      <c r="Q11" s="30">
        <f t="shared" ca="1" si="0"/>
        <v>0.6069000000000031</v>
      </c>
      <c r="R11" s="30">
        <f t="shared" ca="1" si="0"/>
        <v>0.15939999999999999</v>
      </c>
      <c r="S11" s="30">
        <f t="shared" ca="1" si="0"/>
        <v>6.8231639856333737E-4</v>
      </c>
    </row>
    <row r="12" spans="1:19">
      <c r="A12" s="38" t="s">
        <v>53</v>
      </c>
      <c r="B12">
        <f ca="1">HLOOKUP($A$1,营收同比!1:31,12,FALSE)</f>
        <v>34.480499999999999</v>
      </c>
      <c r="C12">
        <f ca="1">HLOOKUP($A$1,归母净利润同比!1:31,12,FALSE)</f>
        <v>48.164999999999999</v>
      </c>
      <c r="D12">
        <f ca="1">HLOOKUP($A$1,ROA!1:31,12,FALSE)</f>
        <v>2.0674000000000001</v>
      </c>
      <c r="E12">
        <f ca="1">HLOOKUP($A$1,ROE!1:31,12,FALSE)</f>
        <v>4.7561999999999998</v>
      </c>
      <c r="F12">
        <f ca="1">HLOOKUP($A$1,销售毛利率!1:31,12,FALSE)</f>
        <v>21.9299</v>
      </c>
      <c r="G12">
        <f ca="1">HLOOKUP($A$1,销售净利率!1:31,12,FALSE)</f>
        <v>8.3856999999999999</v>
      </c>
      <c r="H12">
        <f ca="1">HLOOKUP($A$1,资产负债率!1:31,12,FALSE)</f>
        <v>57.425699999999999</v>
      </c>
      <c r="I12">
        <f ca="1">HLOOKUP($A$1,总资产周转率!1:31,12,FALSE)</f>
        <v>0.24729999999999999</v>
      </c>
      <c r="J12" s="17">
        <f ca="1">HLOOKUP($A$1,营业周期倒数!1:31,12,FALSE)</f>
        <v>1.0001870349755403E-2</v>
      </c>
      <c r="K12" s="29">
        <f t="shared" ca="1" si="1"/>
        <v>-17.584299999999999</v>
      </c>
      <c r="L12" s="30">
        <f t="shared" ca="1" si="0"/>
        <v>-114.9325</v>
      </c>
      <c r="M12" s="30">
        <f t="shared" ca="1" si="0"/>
        <v>1.0330000000000001</v>
      </c>
      <c r="N12" s="30">
        <f t="shared" ca="1" si="0"/>
        <v>2.3881999999999999</v>
      </c>
      <c r="O12" s="30">
        <f t="shared" ca="1" si="0"/>
        <v>-8.6500000000000909E-2</v>
      </c>
      <c r="P12" s="30">
        <f t="shared" ca="1" si="0"/>
        <v>-1.2475000000000005</v>
      </c>
      <c r="Q12" s="30">
        <f t="shared" ca="1" si="0"/>
        <v>1.052500000000002</v>
      </c>
      <c r="R12" s="30">
        <f t="shared" ca="1" si="0"/>
        <v>0.13949999999999999</v>
      </c>
      <c r="S12" s="30">
        <f t="shared" ca="1" si="0"/>
        <v>9.9282887573207308E-4</v>
      </c>
    </row>
    <row r="13" spans="1:19">
      <c r="A13" s="38" t="s">
        <v>54</v>
      </c>
      <c r="B13">
        <f ca="1">HLOOKUP($A$1,营收同比!1:31,13,FALSE)</f>
        <v>19.6586</v>
      </c>
      <c r="C13">
        <f ca="1">HLOOKUP($A$1,归母净利润同比!1:31,13,FALSE)</f>
        <v>2.6701000000000001</v>
      </c>
      <c r="D13">
        <f ca="1">HLOOKUP($A$1,ROA!1:31,13,FALSE)</f>
        <v>1.607</v>
      </c>
      <c r="E13">
        <f ca="1">HLOOKUP($A$1,ROE!1:31,13,FALSE)</f>
        <v>3.1892999999999998</v>
      </c>
      <c r="F13">
        <f ca="1">HLOOKUP($A$1,销售毛利率!1:31,13,FALSE)</f>
        <v>21.936399999999999</v>
      </c>
      <c r="G13">
        <f ca="1">HLOOKUP($A$1,销售净利率!1:31,13,FALSE)</f>
        <v>8.4634999999999998</v>
      </c>
      <c r="H13">
        <f ca="1">HLOOKUP($A$1,资产负债率!1:31,13,FALSE)</f>
        <v>50.1875</v>
      </c>
      <c r="I13">
        <f ca="1">HLOOKUP($A$1,总资产周转率!1:31,13,FALSE)</f>
        <v>0.18990000000000001</v>
      </c>
      <c r="J13" s="17">
        <f ca="1">HLOOKUP($A$1,营业周期倒数!1:31,13,FALSE)</f>
        <v>7.4663807540596584E-3</v>
      </c>
      <c r="K13" s="29">
        <f t="shared" ca="1" si="1"/>
        <v>-9.3795999999999999</v>
      </c>
      <c r="L13" s="30">
        <f t="shared" ca="1" si="0"/>
        <v>27.914300000000001</v>
      </c>
      <c r="M13" s="30">
        <f t="shared" ca="1" si="0"/>
        <v>0.93430000000000002</v>
      </c>
      <c r="N13" s="30">
        <f t="shared" ca="1" si="0"/>
        <v>1.8961999999999999</v>
      </c>
      <c r="O13" s="30">
        <f t="shared" ca="1" si="0"/>
        <v>-0.94290000000000163</v>
      </c>
      <c r="P13" s="30">
        <f t="shared" ca="1" si="0"/>
        <v>0.29630000000000045</v>
      </c>
      <c r="Q13" s="30">
        <f t="shared" ca="1" si="0"/>
        <v>3.5065999999999988</v>
      </c>
      <c r="R13" s="30">
        <f t="shared" ca="1" si="0"/>
        <v>0.10750000000000001</v>
      </c>
      <c r="S13" s="30">
        <f t="shared" ca="1" si="0"/>
        <v>7.6722766099368393E-4</v>
      </c>
    </row>
    <row r="14" spans="1:19">
      <c r="A14" s="38" t="s">
        <v>55</v>
      </c>
      <c r="B14">
        <f ca="1">HLOOKUP($A$1,营收同比!1:31,14,FALSE)</f>
        <v>32.778199999999998</v>
      </c>
      <c r="C14">
        <f ca="1">HLOOKUP($A$1,归母净利润同比!1:31,14,FALSE)</f>
        <v>90.0792</v>
      </c>
      <c r="D14">
        <f ca="1">HLOOKUP($A$1,ROA!1:31,14,FALSE)</f>
        <v>1.9574</v>
      </c>
      <c r="E14">
        <f ca="1">HLOOKUP($A$1,ROE!1:31,14,FALSE)</f>
        <v>4.5582000000000003</v>
      </c>
      <c r="F14">
        <f ca="1">HLOOKUP($A$1,销售毛利率!1:31,14,FALSE)</f>
        <v>13.3727</v>
      </c>
      <c r="G14">
        <f ca="1">HLOOKUP($A$1,销售净利率!1:31,14,FALSE)</f>
        <v>4.6063000000000001</v>
      </c>
      <c r="H14">
        <f ca="1">HLOOKUP($A$1,资产负债率!1:31,14,FALSE)</f>
        <v>58.892400000000002</v>
      </c>
      <c r="I14">
        <f ca="1">HLOOKUP($A$1,总资产周转率!1:31,14,FALSE)</f>
        <v>0.42780000000000001</v>
      </c>
      <c r="J14" s="17">
        <f ca="1">HLOOKUP($A$1,营业周期倒数!1:31,14,FALSE)</f>
        <v>2.5267328333771301E-2</v>
      </c>
      <c r="K14" s="29">
        <f t="shared" ca="1" si="1"/>
        <v>-38.489199999999997</v>
      </c>
      <c r="L14" s="30">
        <f t="shared" ca="1" si="0"/>
        <v>-537.89350000000002</v>
      </c>
      <c r="M14" s="30">
        <f t="shared" ca="1" si="0"/>
        <v>0.95789999999999997</v>
      </c>
      <c r="N14" s="30">
        <f t="shared" ca="1" si="0"/>
        <v>2.2048000000000001</v>
      </c>
      <c r="O14" s="30">
        <f t="shared" ca="1" si="0"/>
        <v>0.16910000000000025</v>
      </c>
      <c r="P14" s="30">
        <f t="shared" ca="1" si="0"/>
        <v>-2.7599999999999625E-2</v>
      </c>
      <c r="Q14" s="30">
        <f t="shared" ca="1" si="0"/>
        <v>-0.45439999999999969</v>
      </c>
      <c r="R14" s="30">
        <f t="shared" ca="1" si="0"/>
        <v>0.21070000000000003</v>
      </c>
      <c r="S14" s="30">
        <f t="shared" ca="1" si="0"/>
        <v>2.4706191797450525E-4</v>
      </c>
    </row>
    <row r="15" spans="1:19">
      <c r="A15" s="38" t="s">
        <v>56</v>
      </c>
      <c r="B15">
        <f ca="1">HLOOKUP($A$1,营收同比!1:31,15,FALSE)</f>
        <v>28.4056</v>
      </c>
      <c r="C15">
        <f ca="1">HLOOKUP($A$1,归母净利润同比!1:31,15,FALSE)</f>
        <v>26.113099999999999</v>
      </c>
      <c r="D15">
        <f ca="1">HLOOKUP($A$1,ROA!1:31,15,FALSE)</f>
        <v>1.0731999999999999</v>
      </c>
      <c r="E15">
        <f ca="1">HLOOKUP($A$1,ROE!1:31,15,FALSE)</f>
        <v>2.6442000000000001</v>
      </c>
      <c r="F15">
        <f ca="1">HLOOKUP($A$1,销售毛利率!1:31,15,FALSE)</f>
        <v>11.7582</v>
      </c>
      <c r="G15">
        <f ca="1">HLOOKUP($A$1,销售净利率!1:31,15,FALSE)</f>
        <v>1.9149</v>
      </c>
      <c r="H15">
        <f ca="1">HLOOKUP($A$1,资产负债率!1:31,15,FALSE)</f>
        <v>62.823599999999999</v>
      </c>
      <c r="I15">
        <f ca="1">HLOOKUP($A$1,总资产周转率!1:31,15,FALSE)</f>
        <v>0.56059999999999999</v>
      </c>
      <c r="J15" s="17">
        <f ca="1">HLOOKUP($A$1,营业周期倒数!1:31,15,FALSE)</f>
        <v>7.9027019337911633E-2</v>
      </c>
      <c r="K15" s="29">
        <f t="shared" ca="1" si="1"/>
        <v>-1.1295000000000002</v>
      </c>
      <c r="L15" s="30">
        <f t="shared" ca="1" si="0"/>
        <v>-148.6532</v>
      </c>
      <c r="M15" s="30">
        <f t="shared" ca="1" si="0"/>
        <v>0.44469999999999998</v>
      </c>
      <c r="N15" s="30">
        <f t="shared" ca="1" si="0"/>
        <v>1.0271000000000001</v>
      </c>
      <c r="O15" s="30">
        <f t="shared" ca="1" si="0"/>
        <v>-1.8376000000000001</v>
      </c>
      <c r="P15" s="30">
        <f t="shared" ca="1" si="0"/>
        <v>-0.57489999999999974</v>
      </c>
      <c r="Q15" s="30">
        <f t="shared" ca="1" si="0"/>
        <v>-1.096899999999998</v>
      </c>
      <c r="R15" s="30">
        <f t="shared" ca="1" si="0"/>
        <v>0.30809999999999998</v>
      </c>
      <c r="S15" s="30">
        <f t="shared" ca="1" si="0"/>
        <v>3.2585375109819986E-3</v>
      </c>
    </row>
    <row r="16" spans="1:19">
      <c r="A16" s="38" t="s">
        <v>57</v>
      </c>
      <c r="B16">
        <f ca="1">HLOOKUP($A$1,营收同比!1:31,16,FALSE)</f>
        <v>57.377200000000002</v>
      </c>
      <c r="C16">
        <f ca="1">HLOOKUP($A$1,归母净利润同比!1:31,16,FALSE)</f>
        <v>504.18220000000002</v>
      </c>
      <c r="D16">
        <f ca="1">HLOOKUP($A$1,ROA!1:31,16,FALSE)</f>
        <v>2.4903</v>
      </c>
      <c r="E16">
        <f ca="1">HLOOKUP($A$1,ROE!1:31,16,FALSE)</f>
        <v>4.3598999999999997</v>
      </c>
      <c r="F16">
        <f ca="1">HLOOKUP($A$1,销售毛利率!1:31,16,FALSE)</f>
        <v>33.423900000000003</v>
      </c>
      <c r="G16">
        <f ca="1">HLOOKUP($A$1,销售净利率!1:31,16,FALSE)</f>
        <v>8.6601999999999997</v>
      </c>
      <c r="H16">
        <f ca="1">HLOOKUP($A$1,资产负债率!1:31,16,FALSE)</f>
        <v>50.369199999999999</v>
      </c>
      <c r="I16">
        <f ca="1">HLOOKUP($A$1,总资产周转率!1:31,16,FALSE)</f>
        <v>0.28760000000000002</v>
      </c>
      <c r="J16" s="17">
        <f ca="1">HLOOKUP($A$1,营业周期倒数!1:31,16,FALSE)</f>
        <v>4.719630358550319E-2</v>
      </c>
      <c r="K16" s="29">
        <f t="shared" ca="1" si="1"/>
        <v>0.48410000000000508</v>
      </c>
      <c r="L16" s="30">
        <f t="shared" ca="1" si="0"/>
        <v>256.11570000000006</v>
      </c>
      <c r="M16" s="30">
        <f t="shared" ca="1" si="0"/>
        <v>1.4965999999999999</v>
      </c>
      <c r="N16" s="30">
        <f t="shared" ca="1" si="0"/>
        <v>2.6149999999999998</v>
      </c>
      <c r="O16" s="30">
        <f t="shared" ca="1" si="0"/>
        <v>-0.24209999999999354</v>
      </c>
      <c r="P16" s="30">
        <f t="shared" ca="1" si="0"/>
        <v>1.2355</v>
      </c>
      <c r="Q16" s="30">
        <f t="shared" ca="1" si="0"/>
        <v>-0.95459999999999923</v>
      </c>
      <c r="R16" s="30">
        <f t="shared" ca="1" si="0"/>
        <v>0.15370000000000003</v>
      </c>
      <c r="S16" s="30">
        <f t="shared" ca="1" si="0"/>
        <v>1.7165375334197638E-3</v>
      </c>
    </row>
    <row r="17" spans="1:19">
      <c r="A17" s="38" t="s">
        <v>58</v>
      </c>
      <c r="B17">
        <f ca="1">HLOOKUP($A$1,营收同比!1:31,17,FALSE)</f>
        <v>28.7454</v>
      </c>
      <c r="C17">
        <f ca="1">HLOOKUP($A$1,归母净利润同比!1:31,17,FALSE)</f>
        <v>33.705199999999998</v>
      </c>
      <c r="D17">
        <f ca="1">HLOOKUP($A$1,ROA!1:31,17,FALSE)</f>
        <v>3.1972999999999998</v>
      </c>
      <c r="E17">
        <f ca="1">HLOOKUP($A$1,ROE!1:31,17,FALSE)</f>
        <v>8.5031999999999996</v>
      </c>
      <c r="F17">
        <f ca="1">HLOOKUP($A$1,销售毛利率!1:31,17,FALSE)</f>
        <v>22.7318</v>
      </c>
      <c r="G17">
        <f ca="1">HLOOKUP($A$1,销售净利率!1:31,17,FALSE)</f>
        <v>7.0079000000000002</v>
      </c>
      <c r="H17">
        <f ca="1">HLOOKUP($A$1,资产负债率!1:31,17,FALSE)</f>
        <v>63.020600000000002</v>
      </c>
      <c r="I17">
        <f ca="1">HLOOKUP($A$1,总资产周转率!1:31,17,FALSE)</f>
        <v>0.45760000000000001</v>
      </c>
      <c r="J17" s="17">
        <f ca="1">HLOOKUP($A$1,营业周期倒数!1:31,17,FALSE)</f>
        <v>2.7910196152858561E-2</v>
      </c>
      <c r="K17" s="29">
        <f t="shared" ca="1" si="1"/>
        <v>-17.3627</v>
      </c>
      <c r="L17" s="30">
        <f t="shared" ca="1" si="0"/>
        <v>-72.359399999999994</v>
      </c>
      <c r="M17" s="30">
        <f t="shared" ca="1" si="0"/>
        <v>1.8320999999999998</v>
      </c>
      <c r="N17" s="30">
        <f t="shared" ca="1" si="0"/>
        <v>4.9780999999999995</v>
      </c>
      <c r="O17" s="30">
        <f t="shared" ca="1" si="0"/>
        <v>0.37659999999999982</v>
      </c>
      <c r="P17" s="30">
        <f t="shared" ca="1" si="0"/>
        <v>0.58400000000000052</v>
      </c>
      <c r="Q17" s="30">
        <f t="shared" ca="1" si="0"/>
        <v>2.3188999999999993</v>
      </c>
      <c r="R17" s="30">
        <f t="shared" ca="1" si="0"/>
        <v>0.2445</v>
      </c>
      <c r="S17" s="30">
        <f t="shared" ca="1" si="0"/>
        <v>1.1478988772604219E-3</v>
      </c>
    </row>
    <row r="18" spans="1:19">
      <c r="A18" s="38" t="s">
        <v>59</v>
      </c>
      <c r="B18">
        <f ca="1">HLOOKUP($A$1,营收同比!1:31,18,FALSE)</f>
        <v>18.5014</v>
      </c>
      <c r="C18">
        <f ca="1">HLOOKUP($A$1,归母净利润同比!1:31,18,FALSE)</f>
        <v>46.745899999999999</v>
      </c>
      <c r="D18">
        <f ca="1">HLOOKUP($A$1,ROA!1:31,18,FALSE)</f>
        <v>2.0712999999999999</v>
      </c>
      <c r="E18">
        <f ca="1">HLOOKUP($A$1,ROE!1:31,18,FALSE)</f>
        <v>4.3467000000000002</v>
      </c>
      <c r="F18">
        <f ca="1">HLOOKUP($A$1,销售毛利率!1:31,18,FALSE)</f>
        <v>25.120699999999999</v>
      </c>
      <c r="G18">
        <f ca="1">HLOOKUP($A$1,销售净利率!1:31,18,FALSE)</f>
        <v>6.5792000000000002</v>
      </c>
      <c r="H18">
        <f ca="1">HLOOKUP($A$1,资产负债率!1:31,18,FALSE)</f>
        <v>51.867899999999999</v>
      </c>
      <c r="I18">
        <f ca="1">HLOOKUP($A$1,总资产周转率!1:31,18,FALSE)</f>
        <v>0.31480000000000002</v>
      </c>
      <c r="J18" s="17">
        <f ca="1">HLOOKUP($A$1,营业周期倒数!1:31,18,FALSE)</f>
        <v>1.6073785103137443E-2</v>
      </c>
      <c r="K18" s="29">
        <f t="shared" ca="1" si="1"/>
        <v>-9.7504999999999988</v>
      </c>
      <c r="L18" s="30">
        <f t="shared" ref="L18:L31" ca="1" si="2">C18-C49</f>
        <v>-100.21080000000001</v>
      </c>
      <c r="M18" s="30">
        <f t="shared" ref="M18:M31" ca="1" si="3">D18-D49</f>
        <v>1.0427999999999999</v>
      </c>
      <c r="N18" s="30">
        <f t="shared" ref="N18:N31" ca="1" si="4">E18-E49</f>
        <v>2.1941000000000002</v>
      </c>
      <c r="O18" s="30">
        <f t="shared" ref="O18:O31" ca="1" si="5">F18-F49</f>
        <v>-0.12679999999999936</v>
      </c>
      <c r="P18" s="30">
        <f t="shared" ref="P18:P31" ca="1" si="6">G18-G49</f>
        <v>2.4000000000000021E-2</v>
      </c>
      <c r="Q18" s="30">
        <f t="shared" ref="Q18:Q31" ca="1" si="7">H18-H49</f>
        <v>0.73469999999999658</v>
      </c>
      <c r="R18" s="30">
        <f t="shared" ref="R18:R31" ca="1" si="8">I18-I49</f>
        <v>0.15790000000000001</v>
      </c>
      <c r="S18" s="30">
        <f t="shared" ref="S18:S31" ca="1" si="9">J18-J49</f>
        <v>-3.1965751981337734E-4</v>
      </c>
    </row>
    <row r="19" spans="1:19">
      <c r="A19" s="38" t="s">
        <v>60</v>
      </c>
      <c r="B19">
        <f ca="1">HLOOKUP($A$1,营收同比!1:31,19,FALSE)</f>
        <v>22.0351</v>
      </c>
      <c r="C19">
        <f ca="1">HLOOKUP($A$1,归母净利润同比!1:31,19,FALSE)</f>
        <v>43.857100000000003</v>
      </c>
      <c r="D19">
        <f ca="1">HLOOKUP($A$1,ROA!1:31,19,FALSE)</f>
        <v>4.4863999999999997</v>
      </c>
      <c r="E19">
        <f ca="1">HLOOKUP($A$1,ROE!1:31,19,FALSE)</f>
        <v>7.9114000000000004</v>
      </c>
      <c r="F19">
        <f ca="1">HLOOKUP($A$1,销售毛利率!1:31,19,FALSE)</f>
        <v>35.4345</v>
      </c>
      <c r="G19">
        <f ca="1">HLOOKUP($A$1,销售净利率!1:31,19,FALSE)</f>
        <v>11.8947</v>
      </c>
      <c r="H19">
        <f ca="1">HLOOKUP($A$1,资产负债率!1:31,19,FALSE)</f>
        <v>42.524700000000003</v>
      </c>
      <c r="I19">
        <f ca="1">HLOOKUP($A$1,总资产周转率!1:31,19,FALSE)</f>
        <v>0.37869999999999998</v>
      </c>
      <c r="J19" s="17">
        <f ca="1">HLOOKUP($A$1,营业周期倒数!1:31,19,FALSE)</f>
        <v>1.2430482526470712E-2</v>
      </c>
      <c r="K19" s="29">
        <f t="shared" ca="1" si="1"/>
        <v>-7.5259999999999998</v>
      </c>
      <c r="L19" s="30">
        <f t="shared" ca="1" si="2"/>
        <v>-29.492000000000004</v>
      </c>
      <c r="M19" s="30">
        <f t="shared" ca="1" si="3"/>
        <v>2.3628999999999998</v>
      </c>
      <c r="N19" s="30">
        <f t="shared" ca="1" si="4"/>
        <v>4.1968000000000005</v>
      </c>
      <c r="O19" s="30">
        <f t="shared" ca="1" si="5"/>
        <v>0.27020000000000266</v>
      </c>
      <c r="P19" s="30">
        <f t="shared" ca="1" si="6"/>
        <v>0.61589999999999989</v>
      </c>
      <c r="Q19" s="30">
        <f t="shared" ca="1" si="7"/>
        <v>5.4100000000005366E-2</v>
      </c>
      <c r="R19" s="30">
        <f t="shared" ca="1" si="8"/>
        <v>0.18969999999999998</v>
      </c>
      <c r="S19" s="30">
        <f t="shared" ca="1" si="9"/>
        <v>-7.7710339856732966E-5</v>
      </c>
    </row>
    <row r="20" spans="1:19">
      <c r="A20" s="38" t="s">
        <v>61</v>
      </c>
      <c r="B20">
        <f ca="1">HLOOKUP($A$1,营收同比!1:31,20,FALSE)</f>
        <v>14.4838</v>
      </c>
      <c r="C20">
        <f ca="1">HLOOKUP($A$1,归母净利润同比!1:31,20,FALSE)</f>
        <v>15.5253</v>
      </c>
      <c r="D20">
        <f ca="1">HLOOKUP($A$1,ROA!1:31,20,FALSE)</f>
        <v>7.8647</v>
      </c>
      <c r="E20">
        <f ca="1">HLOOKUP($A$1,ROE!1:31,20,FALSE)</f>
        <v>11.7943</v>
      </c>
      <c r="F20">
        <f ca="1">HLOOKUP($A$1,销售毛利率!1:31,20,FALSE)</f>
        <v>47.476500000000001</v>
      </c>
      <c r="G20">
        <f ca="1">HLOOKUP($A$1,销售净利率!1:31,20,FALSE)</f>
        <v>20.0076</v>
      </c>
      <c r="H20">
        <f ca="1">HLOOKUP($A$1,资产负债率!1:31,20,FALSE)</f>
        <v>33.943600000000004</v>
      </c>
      <c r="I20">
        <f ca="1">HLOOKUP($A$1,总资产周转率!1:31,20,FALSE)</f>
        <v>0.39479999999999998</v>
      </c>
      <c r="J20" s="17">
        <f ca="1">HLOOKUP($A$1,营业周期倒数!1:31,20,FALSE)</f>
        <v>0.10101112132445782</v>
      </c>
      <c r="K20" s="29">
        <f t="shared" ca="1" si="1"/>
        <v>-8.0274999999999981</v>
      </c>
      <c r="L20" s="30">
        <f t="shared" ca="1" si="2"/>
        <v>-11.028699999999999</v>
      </c>
      <c r="M20" s="30">
        <f t="shared" ca="1" si="3"/>
        <v>3.1894999999999998</v>
      </c>
      <c r="N20" s="30">
        <f t="shared" ca="1" si="4"/>
        <v>4.9049999999999994</v>
      </c>
      <c r="O20" s="30">
        <f t="shared" ca="1" si="5"/>
        <v>-1.892399999999995</v>
      </c>
      <c r="P20" s="30">
        <f t="shared" ca="1" si="6"/>
        <v>-1.6927999999999983</v>
      </c>
      <c r="Q20" s="30">
        <f t="shared" ca="1" si="7"/>
        <v>2.7960000000000029</v>
      </c>
      <c r="R20" s="30">
        <f t="shared" ca="1" si="8"/>
        <v>0.17849999999999999</v>
      </c>
      <c r="S20" s="30">
        <f t="shared" ca="1" si="9"/>
        <v>-1.0416940718687137E-2</v>
      </c>
    </row>
    <row r="21" spans="1:19">
      <c r="A21" s="38" t="s">
        <v>62</v>
      </c>
      <c r="B21">
        <f ca="1">HLOOKUP($A$1,营收同比!1:31,21,FALSE)</f>
        <v>34.748399999999997</v>
      </c>
      <c r="C21">
        <f ca="1">HLOOKUP($A$1,归母净利润同比!1:31,21,FALSE)</f>
        <v>-70.438699999999997</v>
      </c>
      <c r="D21">
        <f ca="1">HLOOKUP($A$1,ROA!1:31,21,FALSE)</f>
        <v>1.4336</v>
      </c>
      <c r="E21">
        <f ca="1">HLOOKUP($A$1,ROE!1:31,21,FALSE)</f>
        <v>2.6597</v>
      </c>
      <c r="F21">
        <f ca="1">HLOOKUP($A$1,销售毛利率!1:31,21,FALSE)</f>
        <v>12.7967</v>
      </c>
      <c r="G21">
        <f ca="1">HLOOKUP($A$1,销售净利率!1:31,21,FALSE)</f>
        <v>3.2254</v>
      </c>
      <c r="H21">
        <f ca="1">HLOOKUP($A$1,资产负债率!1:31,21,FALSE)</f>
        <v>54.676900000000003</v>
      </c>
      <c r="I21">
        <f ca="1">HLOOKUP($A$1,总资产周转率!1:31,21,FALSE)</f>
        <v>0.44450000000000001</v>
      </c>
      <c r="J21" s="17">
        <f ca="1">HLOOKUP($A$1,营业周期倒数!1:31,21,FALSE)</f>
        <v>8.3277814790139917E-2</v>
      </c>
      <c r="K21" s="29">
        <f t="shared" ca="1" si="1"/>
        <v>-11.748000000000005</v>
      </c>
      <c r="L21" s="30">
        <f t="shared" ca="1" si="2"/>
        <v>-70.974999999999994</v>
      </c>
      <c r="M21" s="30">
        <f t="shared" ca="1" si="3"/>
        <v>-0.19429999999999992</v>
      </c>
      <c r="N21" s="30">
        <f t="shared" ca="1" si="4"/>
        <v>-0.47560000000000002</v>
      </c>
      <c r="O21" s="30">
        <f t="shared" ca="1" si="5"/>
        <v>-4.2856000000000005</v>
      </c>
      <c r="P21" s="30">
        <f t="shared" ca="1" si="6"/>
        <v>-4.2094000000000005</v>
      </c>
      <c r="Q21" s="30">
        <f t="shared" ca="1" si="7"/>
        <v>3.2250000000000014</v>
      </c>
      <c r="R21" s="30">
        <f t="shared" ca="1" si="8"/>
        <v>0.22550000000000001</v>
      </c>
      <c r="S21" s="30">
        <f t="shared" ca="1" si="9"/>
        <v>1.5818056401868952E-3</v>
      </c>
    </row>
    <row r="22" spans="1:19">
      <c r="A22" s="38" t="s">
        <v>63</v>
      </c>
      <c r="B22">
        <f ca="1">HLOOKUP($A$1,营收同比!1:31,22,FALSE)</f>
        <v>5.9028</v>
      </c>
      <c r="C22">
        <f ca="1">HLOOKUP($A$1,归母净利润同比!1:31,22,FALSE)</f>
        <v>12.969900000000001</v>
      </c>
      <c r="D22">
        <f ca="1">HLOOKUP($A$1,ROA!1:31,22,FALSE)</f>
        <v>0.45879999999999999</v>
      </c>
      <c r="E22">
        <f ca="1">HLOOKUP($A$1,ROE!1:31,22,FALSE)</f>
        <v>5.6692999999999998</v>
      </c>
      <c r="F22" t="str">
        <f ca="1">HLOOKUP($A$1,销售毛利率!1:31,22,FALSE)</f>
        <v>#N/A</v>
      </c>
      <c r="G22">
        <f ca="1">HLOOKUP($A$1,销售净利率!1:31,22,FALSE)</f>
        <v>33.992699999999999</v>
      </c>
      <c r="H22">
        <f ca="1">HLOOKUP($A$1,资产负债率!1:31,22,FALSE)</f>
        <v>91.945999999999998</v>
      </c>
      <c r="I22">
        <f ca="1">HLOOKUP($A$1,总资产周转率!1:31,22,FALSE)</f>
        <v>1.35E-2</v>
      </c>
      <c r="J22" s="17" t="e">
        <f ca="1">HLOOKUP($A$1,营业周期倒数!1:31,22,FALSE)</f>
        <v>#VALUE!</v>
      </c>
      <c r="K22" s="29">
        <f t="shared" ca="1" si="1"/>
        <v>2.3519000000000001</v>
      </c>
      <c r="L22" s="30">
        <f t="shared" ca="1" si="2"/>
        <v>8.3896000000000015</v>
      </c>
      <c r="M22" s="30">
        <f t="shared" ca="1" si="3"/>
        <v>0.214</v>
      </c>
      <c r="N22" s="30">
        <f t="shared" ca="1" si="4"/>
        <v>2.6492</v>
      </c>
      <c r="O22" s="30" t="e">
        <f t="shared" ca="1" si="5"/>
        <v>#VALUE!</v>
      </c>
      <c r="P22" s="30">
        <f t="shared" ca="1" si="6"/>
        <v>-1.2912999999999997</v>
      </c>
      <c r="Q22" s="30">
        <f t="shared" ca="1" si="7"/>
        <v>4.6499999999994657E-2</v>
      </c>
      <c r="R22" s="30">
        <f t="shared" ca="1" si="8"/>
        <v>6.6E-3</v>
      </c>
      <c r="S22" s="30" t="e">
        <f t="shared" ca="1" si="9"/>
        <v>#VALUE!</v>
      </c>
    </row>
    <row r="23" spans="1:19">
      <c r="A23" s="38" t="s">
        <v>64</v>
      </c>
      <c r="B23">
        <f ca="1">HLOOKUP($A$1,营收同比!1:31,23,FALSE)</f>
        <v>6.1969000000000003</v>
      </c>
      <c r="C23">
        <f ca="1">HLOOKUP($A$1,归母净利润同比!1:31,23,FALSE)</f>
        <v>29.532</v>
      </c>
      <c r="D23">
        <f ca="1">HLOOKUP($A$1,ROA!1:31,23,FALSE)</f>
        <v>0.9345</v>
      </c>
      <c r="E23">
        <f ca="1">HLOOKUP($A$1,ROE!1:31,23,FALSE)</f>
        <v>6.2244000000000002</v>
      </c>
      <c r="F23" t="str">
        <f ca="1">HLOOKUP($A$1,销售毛利率!1:31,23,FALSE)</f>
        <v>#N/A</v>
      </c>
      <c r="G23">
        <f ca="1">HLOOKUP($A$1,销售净利率!1:31,23,FALSE)</f>
        <v>12.556800000000001</v>
      </c>
      <c r="H23">
        <f ca="1">HLOOKUP($A$1,资产负债率!1:31,23,FALSE)</f>
        <v>84.867599999999996</v>
      </c>
      <c r="I23">
        <f ca="1">HLOOKUP($A$1,总资产周转率!1:31,23,FALSE)</f>
        <v>7.5800000000000006E-2</v>
      </c>
      <c r="J23" s="17" t="e">
        <f ca="1">HLOOKUP($A$1,营业周期倒数!1:31,23,FALSE)</f>
        <v>#VALUE!</v>
      </c>
      <c r="K23" s="29">
        <f t="shared" ca="1" si="1"/>
        <v>-1.9340000000000002</v>
      </c>
      <c r="L23" s="30">
        <f t="shared" ca="1" si="2"/>
        <v>7.361699999999999</v>
      </c>
      <c r="M23" s="30">
        <f t="shared" ca="1" si="3"/>
        <v>0.45240000000000002</v>
      </c>
      <c r="N23" s="30">
        <f t="shared" ca="1" si="4"/>
        <v>3.0604</v>
      </c>
      <c r="O23" s="30" t="e">
        <f t="shared" ca="1" si="5"/>
        <v>#VALUE!</v>
      </c>
      <c r="P23" s="30">
        <f t="shared" ca="1" si="6"/>
        <v>1.4475000000000016</v>
      </c>
      <c r="Q23" s="30">
        <f t="shared" ca="1" si="7"/>
        <v>0.23329999999999984</v>
      </c>
      <c r="R23" s="30">
        <f t="shared" ca="1" si="8"/>
        <v>3.1900000000000005E-2</v>
      </c>
      <c r="S23" s="30" t="e">
        <f t="shared" ca="1" si="9"/>
        <v>#VALUE!</v>
      </c>
    </row>
    <row r="24" spans="1:19">
      <c r="A24" s="38" t="s">
        <v>65</v>
      </c>
      <c r="B24">
        <f ca="1">HLOOKUP($A$1,营收同比!1:31,24,FALSE)</f>
        <v>30.273900000000001</v>
      </c>
      <c r="C24">
        <f ca="1">HLOOKUP($A$1,归母净利润同比!1:31,24,FALSE)</f>
        <v>-18.729199999999999</v>
      </c>
      <c r="D24">
        <f ca="1">HLOOKUP($A$1,ROA!1:31,24,FALSE)</f>
        <v>0.65429999999999999</v>
      </c>
      <c r="E24">
        <f ca="1">HLOOKUP($A$1,ROE!1:31,24,FALSE)</f>
        <v>3.5236999999999998</v>
      </c>
      <c r="F24">
        <f ca="1">HLOOKUP($A$1,销售毛利率!1:31,24,FALSE)</f>
        <v>21.467700000000001</v>
      </c>
      <c r="G24">
        <f ca="1">HLOOKUP($A$1,销售净利率!1:31,24,FALSE)</f>
        <v>7.1646000000000001</v>
      </c>
      <c r="H24">
        <f ca="1">HLOOKUP($A$1,资产负债率!1:31,24,FALSE)</f>
        <v>79.227099999999993</v>
      </c>
      <c r="I24">
        <f ca="1">HLOOKUP($A$1,总资产周转率!1:31,24,FALSE)</f>
        <v>9.2799999999999994E-2</v>
      </c>
      <c r="J24" s="17">
        <f ca="1">HLOOKUP($A$1,营业周期倒数!1:31,24,FALSE)</f>
        <v>2.8816367696851811E-2</v>
      </c>
      <c r="K24" s="29">
        <f t="shared" ca="1" si="1"/>
        <v>-5.7777999999999956</v>
      </c>
      <c r="L24" s="30">
        <f t="shared" ca="1" si="2"/>
        <v>-4.4021999999999988</v>
      </c>
      <c r="M24" s="30">
        <f t="shared" ca="1" si="3"/>
        <v>0.4642</v>
      </c>
      <c r="N24" s="30">
        <f t="shared" ca="1" si="4"/>
        <v>2.4852999999999996</v>
      </c>
      <c r="O24" s="30">
        <f t="shared" ca="1" si="5"/>
        <v>-1.1780000000000008</v>
      </c>
      <c r="P24" s="30">
        <f t="shared" ca="1" si="6"/>
        <v>1.7498000000000005</v>
      </c>
      <c r="Q24" s="30">
        <f t="shared" ca="1" si="7"/>
        <v>-2.5200000000012324E-2</v>
      </c>
      <c r="R24" s="30">
        <f t="shared" ca="1" si="8"/>
        <v>5.6799999999999996E-2</v>
      </c>
      <c r="S24" s="30">
        <f t="shared" ca="1" si="9"/>
        <v>6.4461540836820187E-3</v>
      </c>
    </row>
    <row r="25" spans="1:19">
      <c r="A25" s="38" t="s">
        <v>66</v>
      </c>
      <c r="B25">
        <f ca="1">HLOOKUP($A$1,营收同比!1:31,25,FALSE)</f>
        <v>45.743600000000001</v>
      </c>
      <c r="C25">
        <f ca="1">HLOOKUP($A$1,归母净利润同比!1:31,25,FALSE)</f>
        <v>350040.3223</v>
      </c>
      <c r="D25">
        <f ca="1">HLOOKUP($A$1,ROA!1:31,25,FALSE)</f>
        <v>1.9212</v>
      </c>
      <c r="E25">
        <f ca="1">HLOOKUP($A$1,ROE!1:31,25,FALSE)</f>
        <v>4.8057999999999996</v>
      </c>
      <c r="F25">
        <f ca="1">HLOOKUP($A$1,销售毛利率!1:31,25,FALSE)</f>
        <v>11.0787</v>
      </c>
      <c r="G25">
        <f ca="1">HLOOKUP($A$1,销售净利率!1:31,25,FALSE)</f>
        <v>6.5792999999999999</v>
      </c>
      <c r="H25">
        <f ca="1">HLOOKUP($A$1,资产负债率!1:31,25,FALSE)</f>
        <v>59.806399999999996</v>
      </c>
      <c r="I25">
        <f ca="1">HLOOKUP($A$1,总资产周转率!1:31,25,FALSE)</f>
        <v>0.29210000000000003</v>
      </c>
      <c r="J25" s="17">
        <f ca="1">HLOOKUP($A$1,营业周期倒数!1:31,25,FALSE)</f>
        <v>4.7051073940762703E-2</v>
      </c>
      <c r="K25" s="29">
        <f t="shared" ca="1" si="1"/>
        <v>6.7912000000000035</v>
      </c>
      <c r="L25" s="30">
        <f t="shared" ca="1" si="2"/>
        <v>349712.47350000002</v>
      </c>
      <c r="M25" s="30">
        <f t="shared" ca="1" si="3"/>
        <v>1.3927</v>
      </c>
      <c r="N25" s="30">
        <f t="shared" ca="1" si="4"/>
        <v>3.4955999999999996</v>
      </c>
      <c r="O25" s="30">
        <f t="shared" ca="1" si="5"/>
        <v>1.3386999999999993</v>
      </c>
      <c r="P25" s="30">
        <f t="shared" ca="1" si="6"/>
        <v>2.4391999999999996</v>
      </c>
      <c r="Q25" s="30">
        <f t="shared" ca="1" si="7"/>
        <v>0.11059999999999803</v>
      </c>
      <c r="R25" s="30">
        <f t="shared" ca="1" si="8"/>
        <v>0.16440000000000002</v>
      </c>
      <c r="S25" s="30">
        <f t="shared" ca="1" si="9"/>
        <v>4.9303813080930486E-3</v>
      </c>
    </row>
    <row r="26" spans="1:19">
      <c r="A26" s="38" t="s">
        <v>67</v>
      </c>
      <c r="B26">
        <f ca="1">HLOOKUP($A$1,营收同比!1:31,26,FALSE)</f>
        <v>43.5852</v>
      </c>
      <c r="C26">
        <f ca="1">HLOOKUP($A$1,归母净利润同比!1:31,26,FALSE)</f>
        <v>110.7008</v>
      </c>
      <c r="D26">
        <f ca="1">HLOOKUP($A$1,ROA!1:31,26,FALSE)</f>
        <v>3.1293000000000002</v>
      </c>
      <c r="E26">
        <f ca="1">HLOOKUP($A$1,ROE!1:31,26,FALSE)</f>
        <v>6.5968999999999998</v>
      </c>
      <c r="F26">
        <f ca="1">HLOOKUP($A$1,销售毛利率!1:31,26,FALSE)</f>
        <v>22.7896</v>
      </c>
      <c r="G26">
        <f ca="1">HLOOKUP($A$1,销售净利率!1:31,26,FALSE)</f>
        <v>9.5803999999999991</v>
      </c>
      <c r="H26">
        <f ca="1">HLOOKUP($A$1,资产负债率!1:31,26,FALSE)</f>
        <v>48.924999999999997</v>
      </c>
      <c r="I26">
        <f ca="1">HLOOKUP($A$1,总资产周转率!1:31,26,FALSE)</f>
        <v>0.32669999999999999</v>
      </c>
      <c r="J26" s="17">
        <f ca="1">HLOOKUP($A$1,营业周期倒数!1:31,26,FALSE)</f>
        <v>1.4353483231543215E-2</v>
      </c>
      <c r="K26" s="29">
        <f t="shared" ca="1" si="1"/>
        <v>-10.574300000000001</v>
      </c>
      <c r="L26" s="30">
        <f t="shared" ca="1" si="2"/>
        <v>-68.88369999999999</v>
      </c>
      <c r="M26" s="30">
        <f t="shared" ca="1" si="3"/>
        <v>1.7923000000000002</v>
      </c>
      <c r="N26" s="30">
        <f t="shared" ca="1" si="4"/>
        <v>3.7217999999999996</v>
      </c>
      <c r="O26" s="30">
        <f t="shared" ca="1" si="5"/>
        <v>0.84450000000000003</v>
      </c>
      <c r="P26" s="30">
        <f t="shared" ca="1" si="6"/>
        <v>1.359</v>
      </c>
      <c r="Q26" s="30">
        <f t="shared" ca="1" si="7"/>
        <v>-1.9466999999999999</v>
      </c>
      <c r="R26" s="30">
        <f t="shared" ca="1" si="8"/>
        <v>0.1641</v>
      </c>
      <c r="S26" s="30">
        <f t="shared" ca="1" si="9"/>
        <v>7.7538199322038127E-4</v>
      </c>
    </row>
    <row r="27" spans="1:19">
      <c r="A27" s="38" t="s">
        <v>68</v>
      </c>
      <c r="B27">
        <f ca="1">HLOOKUP($A$1,营收同比!1:31,27,FALSE)</f>
        <v>12.141400000000001</v>
      </c>
      <c r="C27">
        <f ca="1">HLOOKUP($A$1,归母净利润同比!1:31,27,FALSE)</f>
        <v>-4.3781999999999996</v>
      </c>
      <c r="D27">
        <f ca="1">HLOOKUP($A$1,ROA!1:31,27,FALSE)</f>
        <v>1.4641999999999999</v>
      </c>
      <c r="E27">
        <f ca="1">HLOOKUP($A$1,ROE!1:31,27,FALSE)</f>
        <v>2.8448000000000002</v>
      </c>
      <c r="F27">
        <f ca="1">HLOOKUP($A$1,销售毛利率!1:31,27,FALSE)</f>
        <v>18.8781</v>
      </c>
      <c r="G27">
        <f ca="1">HLOOKUP($A$1,销售净利率!1:31,27,FALSE)</f>
        <v>3.7029999999999998</v>
      </c>
      <c r="H27">
        <f ca="1">HLOOKUP($A$1,资产负债率!1:31,27,FALSE)</f>
        <v>49.351300000000002</v>
      </c>
      <c r="I27">
        <f ca="1">HLOOKUP($A$1,总资产周转率!1:31,27,FALSE)</f>
        <v>0.39539999999999997</v>
      </c>
      <c r="J27" s="17">
        <f ca="1">HLOOKUP($A$1,营业周期倒数!1:31,27,FALSE)</f>
        <v>1.4724222671474616E-2</v>
      </c>
      <c r="K27" s="29">
        <f t="shared" ca="1" si="1"/>
        <v>-7.9255999999999993</v>
      </c>
      <c r="L27" s="30">
        <f t="shared" ca="1" si="2"/>
        <v>-95.206299999999999</v>
      </c>
      <c r="M27" s="30">
        <f t="shared" ca="1" si="3"/>
        <v>0.68099999999999994</v>
      </c>
      <c r="N27" s="30">
        <f t="shared" ca="1" si="4"/>
        <v>1.1181000000000003</v>
      </c>
      <c r="O27" s="30">
        <f t="shared" ca="1" si="5"/>
        <v>9.5900000000000318E-2</v>
      </c>
      <c r="P27" s="30">
        <f t="shared" ca="1" si="6"/>
        <v>-0.41130000000000022</v>
      </c>
      <c r="Q27" s="30">
        <f t="shared" ca="1" si="7"/>
        <v>0.61810000000000542</v>
      </c>
      <c r="R27" s="30">
        <f t="shared" ca="1" si="8"/>
        <v>0.20499999999999996</v>
      </c>
      <c r="S27" s="30">
        <f t="shared" ca="1" si="9"/>
        <v>1.3456411325385442E-4</v>
      </c>
    </row>
    <row r="28" spans="1:19">
      <c r="A28" s="38" t="s">
        <v>69</v>
      </c>
      <c r="B28">
        <f ca="1">HLOOKUP($A$1,营收同比!1:31,28,FALSE)</f>
        <v>19.250800000000002</v>
      </c>
      <c r="C28">
        <f ca="1">HLOOKUP($A$1,归母净利润同比!1:31,28,FALSE)</f>
        <v>26.359100000000002</v>
      </c>
      <c r="D28">
        <f ca="1">HLOOKUP($A$1,ROA!1:31,28,FALSE)</f>
        <v>1.2262</v>
      </c>
      <c r="E28">
        <f ca="1">HLOOKUP($A$1,ROE!1:31,28,FALSE)</f>
        <v>2.2812000000000001</v>
      </c>
      <c r="F28">
        <f ca="1">HLOOKUP($A$1,销售毛利率!1:31,28,FALSE)</f>
        <v>19.385400000000001</v>
      </c>
      <c r="G28">
        <f ca="1">HLOOKUP($A$1,销售净利率!1:31,28,FALSE)</f>
        <v>3.2206000000000001</v>
      </c>
      <c r="H28">
        <f ca="1">HLOOKUP($A$1,资产负债率!1:31,28,FALSE)</f>
        <v>49.7468</v>
      </c>
      <c r="I28">
        <f ca="1">HLOOKUP($A$1,总资产周转率!1:31,28,FALSE)</f>
        <v>0.3831</v>
      </c>
      <c r="J28" s="17">
        <f ca="1">HLOOKUP($A$1,营业周期倒数!1:31,28,FALSE)</f>
        <v>1.2359595000791014E-2</v>
      </c>
      <c r="K28" s="29">
        <f t="shared" ca="1" si="1"/>
        <v>-12.959900000000001</v>
      </c>
      <c r="L28" s="30">
        <f t="shared" ca="1" si="2"/>
        <v>-839.7835</v>
      </c>
      <c r="M28" s="30">
        <f t="shared" ca="1" si="3"/>
        <v>0.8456999999999999</v>
      </c>
      <c r="N28" s="30">
        <f t="shared" ca="1" si="4"/>
        <v>1.5504000000000002</v>
      </c>
      <c r="O28" s="30">
        <f t="shared" ca="1" si="5"/>
        <v>0.76880000000000237</v>
      </c>
      <c r="P28" s="30">
        <f t="shared" ca="1" si="6"/>
        <v>1.0193000000000003</v>
      </c>
      <c r="Q28" s="30">
        <f t="shared" ca="1" si="7"/>
        <v>0.48140000000000072</v>
      </c>
      <c r="R28" s="30">
        <f t="shared" ca="1" si="8"/>
        <v>0.20910000000000001</v>
      </c>
      <c r="S28" s="30">
        <f t="shared" ca="1" si="9"/>
        <v>8.6502503564255158E-4</v>
      </c>
    </row>
    <row r="29" spans="1:19">
      <c r="A29" s="38" t="s">
        <v>70</v>
      </c>
      <c r="B29">
        <f ca="1">HLOOKUP($A$1,营收同比!1:31,29,FALSE)</f>
        <v>18.557500000000001</v>
      </c>
      <c r="C29">
        <f ca="1">HLOOKUP($A$1,归母净利润同比!1:31,29,FALSE)</f>
        <v>62.912700000000001</v>
      </c>
      <c r="D29">
        <f ca="1">HLOOKUP($A$1,ROA!1:31,29,FALSE)</f>
        <v>2.8532000000000002</v>
      </c>
      <c r="E29">
        <f ca="1">HLOOKUP($A$1,ROE!1:31,29,FALSE)</f>
        <v>4.6365999999999996</v>
      </c>
      <c r="F29">
        <f ca="1">HLOOKUP($A$1,销售毛利率!1:31,29,FALSE)</f>
        <v>29.8292</v>
      </c>
      <c r="G29">
        <f ca="1">HLOOKUP($A$1,销售净利率!1:31,29,FALSE)</f>
        <v>11.254200000000001</v>
      </c>
      <c r="H29">
        <f ca="1">HLOOKUP($A$1,资产负债率!1:31,29,FALSE)</f>
        <v>39.328099999999999</v>
      </c>
      <c r="I29">
        <f ca="1">HLOOKUP($A$1,总资产周转率!1:31,29,FALSE)</f>
        <v>0.25369999999999998</v>
      </c>
      <c r="J29" s="17">
        <f ca="1">HLOOKUP($A$1,营业周期倒数!1:31,29,FALSE)</f>
        <v>1.2925708199552252E-2</v>
      </c>
      <c r="K29" s="29">
        <f t="shared" ca="1" si="1"/>
        <v>-1.1010999999999989</v>
      </c>
      <c r="L29" s="30">
        <f t="shared" ca="1" si="2"/>
        <v>-21.039100000000005</v>
      </c>
      <c r="M29" s="30">
        <f t="shared" ca="1" si="3"/>
        <v>1.7731000000000001</v>
      </c>
      <c r="N29" s="30">
        <f t="shared" ca="1" si="4"/>
        <v>2.8539999999999996</v>
      </c>
      <c r="O29" s="30">
        <f t="shared" ca="1" si="5"/>
        <v>-0.37359999999999971</v>
      </c>
      <c r="P29" s="30">
        <f t="shared" ca="1" si="6"/>
        <v>2.2111000000000001</v>
      </c>
      <c r="Q29" s="30">
        <f t="shared" ca="1" si="7"/>
        <v>-0.27270000000000039</v>
      </c>
      <c r="R29" s="30">
        <f t="shared" ca="1" si="8"/>
        <v>0.13419999999999999</v>
      </c>
      <c r="S29" s="30">
        <f t="shared" ca="1" si="9"/>
        <v>7.9392304376193351E-4</v>
      </c>
    </row>
    <row r="30" spans="1:19" s="20" customFormat="1">
      <c r="A30" s="38" t="s">
        <v>71</v>
      </c>
      <c r="B30" s="20">
        <f ca="1">HLOOKUP($A$1,营收同比!1:31,30,FALSE)</f>
        <v>39.979199999999999</v>
      </c>
      <c r="C30" s="20">
        <f ca="1">HLOOKUP($A$1,归母净利润同比!1:31,30,FALSE)</f>
        <v>118.4555</v>
      </c>
      <c r="D30" s="20">
        <f ca="1">HLOOKUP($A$1,ROA!1:31,30,FALSE)</f>
        <v>1.1153999999999999</v>
      </c>
      <c r="E30" s="20">
        <f ca="1">HLOOKUP($A$1,ROE!1:31,30,FALSE)</f>
        <v>2.9228000000000001</v>
      </c>
      <c r="F30" s="20">
        <f ca="1">HLOOKUP($A$1,销售毛利率!1:31,30,FALSE)</f>
        <v>7.7748999999999997</v>
      </c>
      <c r="G30" s="20">
        <f ca="1">HLOOKUP($A$1,销售净利率!1:31,30,FALSE)</f>
        <v>2.2719999999999998</v>
      </c>
      <c r="H30" s="20">
        <f ca="1">HLOOKUP($A$1,资产负债率!1:31,30,FALSE)</f>
        <v>67.028499999999994</v>
      </c>
      <c r="I30" s="20">
        <f ca="1">HLOOKUP($A$1,总资产周转率!1:31,30,FALSE)</f>
        <v>0.49249999999999999</v>
      </c>
      <c r="J30" s="21">
        <f ca="1">HLOOKUP($A$1,营业周期倒数!1:31,30,FALSE)</f>
        <v>3.963865402986376E-2</v>
      </c>
      <c r="K30" s="29">
        <f t="shared" ca="1" si="1"/>
        <v>-6.5572999999999979</v>
      </c>
      <c r="L30" s="30">
        <f t="shared" ca="1" si="2"/>
        <v>9.5016999999999996</v>
      </c>
      <c r="M30" s="30">
        <f t="shared" ca="1" si="3"/>
        <v>0.85849999999999993</v>
      </c>
      <c r="N30" s="30">
        <f t="shared" ca="1" si="4"/>
        <v>2.2650000000000001</v>
      </c>
      <c r="O30" s="30">
        <f t="shared" ca="1" si="5"/>
        <v>-0.36040000000000116</v>
      </c>
      <c r="P30" s="30">
        <f t="shared" ca="1" si="6"/>
        <v>0.96739999999999982</v>
      </c>
      <c r="Q30" s="30">
        <f t="shared" ca="1" si="7"/>
        <v>-0.30450000000000443</v>
      </c>
      <c r="R30" s="30">
        <f t="shared" ca="1" si="8"/>
        <v>0.29480000000000001</v>
      </c>
      <c r="S30" s="30">
        <f t="shared" ca="1" si="9"/>
        <v>6.3198698989342661E-3</v>
      </c>
    </row>
    <row r="31" spans="1:19" s="23" customFormat="1" ht="17" thickBot="1">
      <c r="A31" s="39" t="s">
        <v>72</v>
      </c>
      <c r="B31" s="23">
        <f ca="1">HLOOKUP($A$1,营收同比!1:31,31,FALSE)</f>
        <v>24.6736</v>
      </c>
      <c r="C31" s="23">
        <f ca="1">HLOOKUP($A$1,归母净利润同比!1:31,31,FALSE)</f>
        <v>7.2765000000000004</v>
      </c>
      <c r="D31" s="23">
        <f ca="1">HLOOKUP($A$1,ROA!1:31,31,FALSE)</f>
        <v>1.2984</v>
      </c>
      <c r="E31" s="23">
        <f ca="1">HLOOKUP($A$1,ROE!1:31,31,FALSE)</f>
        <v>3.6936</v>
      </c>
      <c r="F31" s="23">
        <f ca="1">HLOOKUP($A$1,销售毛利率!1:31,31,FALSE)</f>
        <v>12.159599999999999</v>
      </c>
      <c r="G31" s="23">
        <f ca="1">HLOOKUP($A$1,销售净利率!1:31,31,FALSE)</f>
        <v>12.466100000000001</v>
      </c>
      <c r="H31" s="23">
        <f ca="1">HLOOKUP($A$1,资产负债率!1:31,31,FALSE)</f>
        <v>66.764600000000002</v>
      </c>
      <c r="I31" s="23">
        <f ca="1">HLOOKUP($A$1,总资产周转率!1:31,31,FALSE)</f>
        <v>0.14899999999999999</v>
      </c>
      <c r="J31" s="24">
        <f ca="1">HLOOKUP($A$1,营业周期倒数!1:31,31,FALSE)</f>
        <v>4.2908142249073189E-2</v>
      </c>
      <c r="K31" s="31">
        <f t="shared" ca="1" si="1"/>
        <v>-3.814899999999998</v>
      </c>
      <c r="L31" s="32">
        <f t="shared" ca="1" si="2"/>
        <v>-43.655100000000004</v>
      </c>
      <c r="M31" s="32">
        <f t="shared" ca="1" si="3"/>
        <v>0.79510000000000003</v>
      </c>
      <c r="N31" s="32">
        <f t="shared" ca="1" si="4"/>
        <v>2.4466999999999999</v>
      </c>
      <c r="O31" s="32">
        <f t="shared" ca="1" si="5"/>
        <v>4.249999999999865E-2</v>
      </c>
      <c r="P31" s="32">
        <f t="shared" ca="1" si="6"/>
        <v>2.1051000000000002</v>
      </c>
      <c r="Q31" s="32">
        <f t="shared" ca="1" si="7"/>
        <v>3.5382000000000033</v>
      </c>
      <c r="R31" s="32">
        <f t="shared" ca="1" si="8"/>
        <v>7.2899999999999993E-2</v>
      </c>
      <c r="S31" s="32">
        <f t="shared" ca="1" si="9"/>
        <v>-6.4358849670664853E-4</v>
      </c>
    </row>
    <row r="32" spans="1:19" s="28" customFormat="1" ht="17" thickTop="1">
      <c r="A32" s="42">
        <v>44286</v>
      </c>
      <c r="B32" s="26" t="s">
        <v>38</v>
      </c>
      <c r="C32" s="26" t="s">
        <v>39</v>
      </c>
      <c r="D32" s="26" t="s">
        <v>35</v>
      </c>
      <c r="E32" s="26" t="s">
        <v>40</v>
      </c>
      <c r="F32" s="26" t="s">
        <v>36</v>
      </c>
      <c r="G32" s="26" t="s">
        <v>37</v>
      </c>
      <c r="H32" s="26" t="s">
        <v>41</v>
      </c>
      <c r="I32" s="26" t="s">
        <v>42</v>
      </c>
      <c r="J32" s="27" t="s">
        <v>76</v>
      </c>
      <c r="K32" s="43"/>
      <c r="L32" s="43"/>
      <c r="M32" s="43"/>
      <c r="N32" s="43"/>
      <c r="O32" s="43"/>
      <c r="P32" s="43"/>
      <c r="Q32" s="43"/>
      <c r="R32" s="43"/>
      <c r="S32" s="43"/>
    </row>
    <row r="33" spans="1:10">
      <c r="A33" s="38" t="s">
        <v>43</v>
      </c>
      <c r="B33">
        <f ca="1">HLOOKUP($A$32,营收同比!1:31,2,FALSE)</f>
        <v>11.459199999999999</v>
      </c>
      <c r="C33">
        <f ca="1">HLOOKUP($A$32,归母净利润同比!1:31,2,FALSE)</f>
        <v>296.44670000000002</v>
      </c>
      <c r="D33">
        <f ca="1">HLOOKUP($A$32,ROA!1:31,2,FALSE)</f>
        <v>1.3125</v>
      </c>
      <c r="E33">
        <f ca="1">HLOOKUP($A$32,ROE!1:31,2,FALSE)</f>
        <v>2.5722</v>
      </c>
      <c r="F33">
        <f ca="1">HLOOKUP($A$32,销售毛利率!1:31,2,FALSE)</f>
        <v>21.194299999999998</v>
      </c>
      <c r="G33">
        <f ca="1">HLOOKUP($A$32,销售净利率!1:31,2,FALSE)</f>
        <v>5.3032000000000004</v>
      </c>
      <c r="H33">
        <f ca="1">HLOOKUP($A$32,资产负债率!1:31,2,FALSE)</f>
        <v>50.823700000000002</v>
      </c>
      <c r="I33">
        <f ca="1">HLOOKUP($A$32,总资产周转率!1:31,2,FALSE)</f>
        <v>0.2475</v>
      </c>
      <c r="J33" s="17">
        <f ca="1">HLOOKUP($A$32,营业周期倒数!1:31,2,FALSE)</f>
        <v>8.6054076381598205E-2</v>
      </c>
    </row>
    <row r="34" spans="1:10">
      <c r="A34" s="38" t="s">
        <v>44</v>
      </c>
      <c r="B34">
        <f ca="1">HLOOKUP($A$32,营收同比!1:31,3,FALSE)</f>
        <v>25.303899999999999</v>
      </c>
      <c r="C34">
        <f ca="1">HLOOKUP($A$32,归母净利润同比!1:31,3,FALSE)</f>
        <v>61.634700000000002</v>
      </c>
      <c r="D34">
        <f ca="1">HLOOKUP($A$32,ROA!1:31,3,FALSE)</f>
        <v>1.8249</v>
      </c>
      <c r="E34">
        <f ca="1">HLOOKUP($A$32,ROE!1:31,3,FALSE)</f>
        <v>3.4346000000000001</v>
      </c>
      <c r="F34">
        <f ca="1">HLOOKUP($A$32,销售毛利率!1:31,3,FALSE)</f>
        <v>27.282299999999999</v>
      </c>
      <c r="G34">
        <f ca="1">HLOOKUP($A$32,销售净利率!1:31,3,FALSE)</f>
        <v>13.3111</v>
      </c>
      <c r="H34">
        <f ca="1">HLOOKUP($A$32,资产负债率!1:31,3,FALSE)</f>
        <v>48.707900000000002</v>
      </c>
      <c r="I34">
        <f ca="1">HLOOKUP($A$32,总资产周转率!1:31,3,FALSE)</f>
        <v>0.1371</v>
      </c>
      <c r="J34" s="17">
        <f ca="1">HLOOKUP($A$32,营业周期倒数!1:31,3,FALSE)</f>
        <v>4.9863871630448871E-2</v>
      </c>
    </row>
    <row r="35" spans="1:10">
      <c r="A35" s="38" t="s">
        <v>45</v>
      </c>
      <c r="B35">
        <f ca="1">HLOOKUP($A$32,营收同比!1:31,4,FALSE)</f>
        <v>47.101300000000002</v>
      </c>
      <c r="C35">
        <f ca="1">HLOOKUP($A$32,归母净利润同比!1:31,4,FALSE)</f>
        <v>315.14800000000002</v>
      </c>
      <c r="D35">
        <f ca="1">HLOOKUP($A$32,ROA!1:31,4,FALSE)</f>
        <v>1.1317999999999999</v>
      </c>
      <c r="E35">
        <f ca="1">HLOOKUP($A$32,ROE!1:31,4,FALSE)</f>
        <v>2.4946000000000002</v>
      </c>
      <c r="F35">
        <f ca="1">HLOOKUP($A$32,销售毛利率!1:31,4,FALSE)</f>
        <v>10.2354</v>
      </c>
      <c r="G35">
        <f ca="1">HLOOKUP($A$32,销售净利率!1:31,4,FALSE)</f>
        <v>3.8889999999999998</v>
      </c>
      <c r="H35">
        <f ca="1">HLOOKUP($A$32,资产负债率!1:31,4,FALSE)</f>
        <v>56.218600000000002</v>
      </c>
      <c r="I35">
        <f ca="1">HLOOKUP($A$32,总资产周转率!1:31,4,FALSE)</f>
        <v>0.29099999999999998</v>
      </c>
      <c r="J35" s="17">
        <f ca="1">HLOOKUP($A$32,营业周期倒数!1:31,4,FALSE)</f>
        <v>7.7261243442451971E-2</v>
      </c>
    </row>
    <row r="36" spans="1:10">
      <c r="A36" s="38" t="s">
        <v>46</v>
      </c>
      <c r="B36">
        <f ca="1">HLOOKUP($A$32,营收同比!1:31,5,FALSE)</f>
        <v>26.043500000000002</v>
      </c>
      <c r="C36">
        <f ca="1">HLOOKUP($A$32,归母净利润同比!1:31,5,FALSE)</f>
        <v>48.988599999999998</v>
      </c>
      <c r="D36">
        <f ca="1">HLOOKUP($A$32,ROA!1:31,5,FALSE)</f>
        <v>0.78400000000000003</v>
      </c>
      <c r="E36">
        <f ca="1">HLOOKUP($A$32,ROE!1:31,5,FALSE)</f>
        <v>1.9068000000000001</v>
      </c>
      <c r="F36">
        <f ca="1">HLOOKUP($A$32,销售毛利率!1:31,5,FALSE)</f>
        <v>19.873100000000001</v>
      </c>
      <c r="G36">
        <f ca="1">HLOOKUP($A$32,销售净利率!1:31,5,FALSE)</f>
        <v>9.9574999999999996</v>
      </c>
      <c r="H36">
        <f ca="1">HLOOKUP($A$32,资产负债率!1:31,5,FALSE)</f>
        <v>60.487900000000003</v>
      </c>
      <c r="I36">
        <f ca="1">HLOOKUP($A$32,总资产周转率!1:31,5,FALSE)</f>
        <v>7.8899999999999998E-2</v>
      </c>
      <c r="J36" s="17">
        <f ca="1">HLOOKUP($A$32,营业周期倒数!1:31,5,FALSE)</f>
        <v>1.5105580454587339E-2</v>
      </c>
    </row>
    <row r="37" spans="1:10">
      <c r="A37" s="38" t="s">
        <v>47</v>
      </c>
      <c r="B37">
        <f ca="1">HLOOKUP($A$32,营收同比!1:31,6,FALSE)</f>
        <v>52.514200000000002</v>
      </c>
      <c r="C37">
        <f ca="1">HLOOKUP($A$32,归母净利润同比!1:31,6,FALSE)</f>
        <v>248.60210000000001</v>
      </c>
      <c r="D37">
        <f ca="1">HLOOKUP($A$32,ROA!1:31,6,FALSE)</f>
        <v>1.4326000000000001</v>
      </c>
      <c r="E37">
        <f ca="1">HLOOKUP($A$32,ROE!1:31,6,FALSE)</f>
        <v>3.3048999999999999</v>
      </c>
      <c r="F37">
        <f ca="1">HLOOKUP($A$32,销售毛利率!1:31,6,FALSE)</f>
        <v>11.681900000000001</v>
      </c>
      <c r="G37">
        <f ca="1">HLOOKUP($A$32,销售净利率!1:31,6,FALSE)</f>
        <v>5.3331999999999997</v>
      </c>
      <c r="H37">
        <f ca="1">HLOOKUP($A$32,资产负债率!1:31,6,FALSE)</f>
        <v>56.645299999999999</v>
      </c>
      <c r="I37">
        <f ca="1">HLOOKUP($A$32,总资产周转率!1:31,6,FALSE)</f>
        <v>0.26869999999999999</v>
      </c>
      <c r="J37" s="17">
        <f ca="1">HLOOKUP($A$32,营业周期倒数!1:31,6,FALSE)</f>
        <v>0.11382521000751247</v>
      </c>
    </row>
    <row r="38" spans="1:10">
      <c r="A38" s="38" t="s">
        <v>48</v>
      </c>
      <c r="B38">
        <f ca="1">HLOOKUP($A$32,营收同比!1:31,7,FALSE)</f>
        <v>41.480499999999999</v>
      </c>
      <c r="C38">
        <f ca="1">HLOOKUP($A$32,归母净利润同比!1:31,7,FALSE)</f>
        <v>226.2295</v>
      </c>
      <c r="D38">
        <f ca="1">HLOOKUP($A$32,ROA!1:31,7,FALSE)</f>
        <v>1.9231</v>
      </c>
      <c r="E38">
        <f ca="1">HLOOKUP($A$32,ROE!1:31,7,FALSE)</f>
        <v>3.7806000000000002</v>
      </c>
      <c r="F38">
        <f ca="1">HLOOKUP($A$32,销售毛利率!1:31,7,FALSE)</f>
        <v>23.5975</v>
      </c>
      <c r="G38">
        <f ca="1">HLOOKUP($A$32,销售净利率!1:31,7,FALSE)</f>
        <v>11.126799999999999</v>
      </c>
      <c r="H38">
        <f ca="1">HLOOKUP($A$32,资产负债率!1:31,7,FALSE)</f>
        <v>48.189599999999999</v>
      </c>
      <c r="I38">
        <f ca="1">HLOOKUP($A$32,总资产周转率!1:31,7,FALSE)</f>
        <v>0.1729</v>
      </c>
      <c r="J38" s="17">
        <f ca="1">HLOOKUP($A$32,营业周期倒数!1:31,7,FALSE)</f>
        <v>2.3321983301459955E-2</v>
      </c>
    </row>
    <row r="39" spans="1:10">
      <c r="A39" s="38" t="s">
        <v>49</v>
      </c>
      <c r="B39">
        <f ca="1">HLOOKUP($A$32,营收同比!1:31,8,FALSE)</f>
        <v>54.606499999999997</v>
      </c>
      <c r="C39">
        <f ca="1">HLOOKUP($A$32,归母净利润同比!1:31,8,FALSE)</f>
        <v>71.797799999999995</v>
      </c>
      <c r="D39">
        <f ca="1">HLOOKUP($A$32,ROA!1:31,8,FALSE)</f>
        <v>0.48909999999999998</v>
      </c>
      <c r="E39">
        <f ca="1">HLOOKUP($A$32,ROE!1:31,8,FALSE)</f>
        <v>2.1659000000000002</v>
      </c>
      <c r="F39">
        <f ca="1">HLOOKUP($A$32,销售毛利率!1:31,8,FALSE)</f>
        <v>9.9555000000000007</v>
      </c>
      <c r="G39">
        <f ca="1">HLOOKUP($A$32,销售净利率!1:31,8,FALSE)</f>
        <v>3.1938</v>
      </c>
      <c r="H39">
        <f ca="1">HLOOKUP($A$32,资产负债率!1:31,8,FALSE)</f>
        <v>73.991100000000003</v>
      </c>
      <c r="I39">
        <f ca="1">HLOOKUP($A$32,总资产周转率!1:31,8,FALSE)</f>
        <v>0.15329999999999999</v>
      </c>
      <c r="J39" s="17">
        <f ca="1">HLOOKUP($A$32,营业周期倒数!1:31,8,FALSE)</f>
        <v>1.567479195632376E-2</v>
      </c>
    </row>
    <row r="40" spans="1:10">
      <c r="A40" s="38" t="s">
        <v>50</v>
      </c>
      <c r="B40">
        <f ca="1">HLOOKUP($A$32,营收同比!1:31,9,FALSE)</f>
        <v>59.800699999999999</v>
      </c>
      <c r="C40">
        <f ca="1">HLOOKUP($A$32,归母净利润同比!1:31,9,FALSE)</f>
        <v>94.100300000000004</v>
      </c>
      <c r="D40">
        <f ca="1">HLOOKUP($A$32,ROA!1:31,9,FALSE)</f>
        <v>1.7434000000000001</v>
      </c>
      <c r="E40">
        <f ca="1">HLOOKUP($A$32,ROE!1:31,9,FALSE)</f>
        <v>2.8990999999999998</v>
      </c>
      <c r="F40">
        <f ca="1">HLOOKUP($A$32,销售毛利率!1:31,9,FALSE)</f>
        <v>27.709800000000001</v>
      </c>
      <c r="G40">
        <f ca="1">HLOOKUP($A$32,销售净利率!1:31,9,FALSE)</f>
        <v>12.4617</v>
      </c>
      <c r="H40">
        <f ca="1">HLOOKUP($A$32,资产负债率!1:31,9,FALSE)</f>
        <v>37.054000000000002</v>
      </c>
      <c r="I40">
        <f ca="1">HLOOKUP($A$32,总资产周转率!1:31,9,FALSE)</f>
        <v>0.1399</v>
      </c>
      <c r="J40" s="17">
        <f ca="1">HLOOKUP($A$32,营业周期倒数!1:31,9,FALSE)</f>
        <v>1.8006792162003508E-2</v>
      </c>
    </row>
    <row r="41" spans="1:10">
      <c r="A41" s="38" t="s">
        <v>51</v>
      </c>
      <c r="B41">
        <f ca="1">HLOOKUP($A$32,营收同比!1:31,10,FALSE)</f>
        <v>58.377499999999998</v>
      </c>
      <c r="C41">
        <f ca="1">HLOOKUP($A$32,归母净利润同比!1:31,10,FALSE)</f>
        <v>139.31960000000001</v>
      </c>
      <c r="D41">
        <f ca="1">HLOOKUP($A$32,ROA!1:31,10,FALSE)</f>
        <v>1.5317000000000001</v>
      </c>
      <c r="E41">
        <f ca="1">HLOOKUP($A$32,ROE!1:31,10,FALSE)</f>
        <v>2.9754</v>
      </c>
      <c r="F41">
        <f ca="1">HLOOKUP($A$32,销售毛利率!1:31,10,FALSE)</f>
        <v>24.723700000000001</v>
      </c>
      <c r="G41">
        <f ca="1">HLOOKUP($A$32,销售净利率!1:31,10,FALSE)</f>
        <v>9.0395000000000003</v>
      </c>
      <c r="H41">
        <f ca="1">HLOOKUP($A$32,资产负债率!1:31,10,FALSE)</f>
        <v>47.727400000000003</v>
      </c>
      <c r="I41">
        <f ca="1">HLOOKUP($A$32,总资产周转率!1:31,10,FALSE)</f>
        <v>0.1694</v>
      </c>
      <c r="J41" s="17">
        <f ca="1">HLOOKUP($A$32,营业周期倒数!1:31,10,FALSE)</f>
        <v>1.9414459889725868E-2</v>
      </c>
    </row>
    <row r="42" spans="1:10">
      <c r="A42" s="38" t="s">
        <v>52</v>
      </c>
      <c r="B42">
        <f ca="1">HLOOKUP($A$32,营收同比!1:31,11,FALSE)</f>
        <v>52.231200000000001</v>
      </c>
      <c r="C42">
        <f ca="1">HLOOKUP($A$32,归母净利润同比!1:31,11,FALSE)</f>
        <v>183.80879999999999</v>
      </c>
      <c r="D42">
        <f ca="1">HLOOKUP($A$32,ROA!1:31,11,FALSE)</f>
        <v>1.0468999999999999</v>
      </c>
      <c r="E42">
        <f ca="1">HLOOKUP($A$32,ROE!1:31,11,FALSE)</f>
        <v>2.3410000000000002</v>
      </c>
      <c r="F42">
        <f ca="1">HLOOKUP($A$32,销售毛利率!1:31,11,FALSE)</f>
        <v>23.126200000000001</v>
      </c>
      <c r="G42">
        <f ca="1">HLOOKUP($A$32,销售净利率!1:31,11,FALSE)</f>
        <v>8.1471</v>
      </c>
      <c r="H42">
        <f ca="1">HLOOKUP($A$32,资产负债率!1:31,11,FALSE)</f>
        <v>54.610199999999999</v>
      </c>
      <c r="I42">
        <f ca="1">HLOOKUP($A$32,总资产周转率!1:31,11,FALSE)</f>
        <v>0.12859999999999999</v>
      </c>
      <c r="J42" s="17">
        <f ca="1">HLOOKUP($A$32,营业周期倒数!1:31,11,FALSE)</f>
        <v>9.0205243991654215E-3</v>
      </c>
    </row>
    <row r="43" spans="1:10">
      <c r="A43" s="38" t="s">
        <v>53</v>
      </c>
      <c r="B43">
        <f ca="1">HLOOKUP($A$32,营收同比!1:31,12,FALSE)</f>
        <v>52.064799999999998</v>
      </c>
      <c r="C43">
        <f ca="1">HLOOKUP($A$32,归母净利润同比!1:31,12,FALSE)</f>
        <v>163.0975</v>
      </c>
      <c r="D43">
        <f ca="1">HLOOKUP($A$32,ROA!1:31,12,FALSE)</f>
        <v>1.0344</v>
      </c>
      <c r="E43">
        <f ca="1">HLOOKUP($A$32,ROE!1:31,12,FALSE)</f>
        <v>2.3679999999999999</v>
      </c>
      <c r="F43">
        <f ca="1">HLOOKUP($A$32,销售毛利率!1:31,12,FALSE)</f>
        <v>22.016400000000001</v>
      </c>
      <c r="G43">
        <f ca="1">HLOOKUP($A$32,销售净利率!1:31,12,FALSE)</f>
        <v>9.6332000000000004</v>
      </c>
      <c r="H43">
        <f ca="1">HLOOKUP($A$32,资产负债率!1:31,12,FALSE)</f>
        <v>56.373199999999997</v>
      </c>
      <c r="I43">
        <f ca="1">HLOOKUP($A$32,总资产周转率!1:31,12,FALSE)</f>
        <v>0.10780000000000001</v>
      </c>
      <c r="J43" s="17">
        <f ca="1">HLOOKUP($A$32,营业周期倒数!1:31,12,FALSE)</f>
        <v>9.0090414740233299E-3</v>
      </c>
    </row>
    <row r="44" spans="1:10">
      <c r="A44" s="38" t="s">
        <v>54</v>
      </c>
      <c r="B44">
        <f ca="1">HLOOKUP($A$32,营收同比!1:31,13,FALSE)</f>
        <v>29.0382</v>
      </c>
      <c r="C44">
        <f ca="1">HLOOKUP($A$32,归母净利润同比!1:31,13,FALSE)</f>
        <v>-25.244199999999999</v>
      </c>
      <c r="D44">
        <f ca="1">HLOOKUP($A$32,ROA!1:31,13,FALSE)</f>
        <v>0.67269999999999996</v>
      </c>
      <c r="E44">
        <f ca="1">HLOOKUP($A$32,ROE!1:31,13,FALSE)</f>
        <v>1.2930999999999999</v>
      </c>
      <c r="F44">
        <f ca="1">HLOOKUP($A$32,销售毛利率!1:31,13,FALSE)</f>
        <v>22.879300000000001</v>
      </c>
      <c r="G44">
        <f ca="1">HLOOKUP($A$32,销售净利率!1:31,13,FALSE)</f>
        <v>8.1671999999999993</v>
      </c>
      <c r="H44">
        <f ca="1">HLOOKUP($A$32,资产负债率!1:31,13,FALSE)</f>
        <v>46.680900000000001</v>
      </c>
      <c r="I44">
        <f ca="1">HLOOKUP($A$32,总资产周转率!1:31,13,FALSE)</f>
        <v>8.2400000000000001E-2</v>
      </c>
      <c r="J44" s="17">
        <f ca="1">HLOOKUP($A$32,营业周期倒数!1:31,13,FALSE)</f>
        <v>6.6991530930659744E-3</v>
      </c>
    </row>
    <row r="45" spans="1:10">
      <c r="A45" s="38" t="s">
        <v>55</v>
      </c>
      <c r="B45">
        <f ca="1">HLOOKUP($A$32,营收同比!1:31,14,FALSE)</f>
        <v>71.267399999999995</v>
      </c>
      <c r="C45">
        <f ca="1">HLOOKUP($A$32,归母净利润同比!1:31,14,FALSE)</f>
        <v>627.97270000000003</v>
      </c>
      <c r="D45">
        <f ca="1">HLOOKUP($A$32,ROA!1:31,14,FALSE)</f>
        <v>0.99950000000000006</v>
      </c>
      <c r="E45">
        <f ca="1">HLOOKUP($A$32,ROE!1:31,14,FALSE)</f>
        <v>2.3534000000000002</v>
      </c>
      <c r="F45">
        <f ca="1">HLOOKUP($A$32,销售毛利率!1:31,14,FALSE)</f>
        <v>13.2036</v>
      </c>
      <c r="G45">
        <f ca="1">HLOOKUP($A$32,销售净利率!1:31,14,FALSE)</f>
        <v>4.6338999999999997</v>
      </c>
      <c r="H45">
        <f ca="1">HLOOKUP($A$32,资产负债率!1:31,14,FALSE)</f>
        <v>59.346800000000002</v>
      </c>
      <c r="I45">
        <f ca="1">HLOOKUP($A$32,总资产周转率!1:31,14,FALSE)</f>
        <v>0.21709999999999999</v>
      </c>
      <c r="J45" s="17">
        <f ca="1">HLOOKUP($A$32,营业周期倒数!1:31,14,FALSE)</f>
        <v>2.5020266415796796E-2</v>
      </c>
    </row>
    <row r="46" spans="1:10">
      <c r="A46" s="38" t="s">
        <v>56</v>
      </c>
      <c r="B46">
        <f ca="1">HLOOKUP($A$32,营收同比!1:31,15,FALSE)</f>
        <v>29.5351</v>
      </c>
      <c r="C46">
        <f ca="1">HLOOKUP($A$32,归母净利润同比!1:31,15,FALSE)</f>
        <v>174.7663</v>
      </c>
      <c r="D46">
        <f ca="1">HLOOKUP($A$32,ROA!1:31,15,FALSE)</f>
        <v>0.62849999999999995</v>
      </c>
      <c r="E46">
        <f ca="1">HLOOKUP($A$32,ROE!1:31,15,FALSE)</f>
        <v>1.6171</v>
      </c>
      <c r="F46">
        <f ca="1">HLOOKUP($A$32,销售毛利率!1:31,15,FALSE)</f>
        <v>13.595800000000001</v>
      </c>
      <c r="G46">
        <f ca="1">HLOOKUP($A$32,销售净利率!1:31,15,FALSE)</f>
        <v>2.4897999999999998</v>
      </c>
      <c r="H46">
        <f ca="1">HLOOKUP($A$32,资产负债率!1:31,15,FALSE)</f>
        <v>63.920499999999997</v>
      </c>
      <c r="I46">
        <f ca="1">HLOOKUP($A$32,总资产周转率!1:31,15,FALSE)</f>
        <v>0.2525</v>
      </c>
      <c r="J46" s="17">
        <f ca="1">HLOOKUP($A$32,营业周期倒数!1:31,15,FALSE)</f>
        <v>7.5768481826929635E-2</v>
      </c>
    </row>
    <row r="47" spans="1:10">
      <c r="A47" s="38" t="s">
        <v>57</v>
      </c>
      <c r="B47">
        <f ca="1">HLOOKUP($A$32,营收同比!1:31,16,FALSE)</f>
        <v>56.893099999999997</v>
      </c>
      <c r="C47">
        <f ca="1">HLOOKUP($A$32,归母净利润同比!1:31,16,FALSE)</f>
        <v>248.06649999999999</v>
      </c>
      <c r="D47">
        <f ca="1">HLOOKUP($A$32,ROA!1:31,16,FALSE)</f>
        <v>0.99370000000000003</v>
      </c>
      <c r="E47">
        <f ca="1">HLOOKUP($A$32,ROE!1:31,16,FALSE)</f>
        <v>1.7448999999999999</v>
      </c>
      <c r="F47">
        <f ca="1">HLOOKUP($A$32,销售毛利率!1:31,16,FALSE)</f>
        <v>33.665999999999997</v>
      </c>
      <c r="G47">
        <f ca="1">HLOOKUP($A$32,销售净利率!1:31,16,FALSE)</f>
        <v>7.4246999999999996</v>
      </c>
      <c r="H47">
        <f ca="1">HLOOKUP($A$32,资产负债率!1:31,16,FALSE)</f>
        <v>51.323799999999999</v>
      </c>
      <c r="I47">
        <f ca="1">HLOOKUP($A$32,总资产周转率!1:31,16,FALSE)</f>
        <v>0.13389999999999999</v>
      </c>
      <c r="J47" s="17">
        <f ca="1">HLOOKUP($A$32,营业周期倒数!1:31,16,FALSE)</f>
        <v>4.5479766052083426E-2</v>
      </c>
    </row>
    <row r="48" spans="1:10">
      <c r="A48" s="38" t="s">
        <v>58</v>
      </c>
      <c r="B48">
        <f ca="1">HLOOKUP($A$32,营收同比!1:31,17,FALSE)</f>
        <v>46.1081</v>
      </c>
      <c r="C48">
        <f ca="1">HLOOKUP($A$32,归母净利润同比!1:31,17,FALSE)</f>
        <v>106.0646</v>
      </c>
      <c r="D48">
        <f ca="1">HLOOKUP($A$32,ROA!1:31,17,FALSE)</f>
        <v>1.3652</v>
      </c>
      <c r="E48">
        <f ca="1">HLOOKUP($A$32,ROE!1:31,17,FALSE)</f>
        <v>3.5251000000000001</v>
      </c>
      <c r="F48">
        <f ca="1">HLOOKUP($A$32,销售毛利率!1:31,17,FALSE)</f>
        <v>22.3552</v>
      </c>
      <c r="G48">
        <f ca="1">HLOOKUP($A$32,销售净利率!1:31,17,FALSE)</f>
        <v>6.4238999999999997</v>
      </c>
      <c r="H48">
        <f ca="1">HLOOKUP($A$32,资产负债率!1:31,17,FALSE)</f>
        <v>60.701700000000002</v>
      </c>
      <c r="I48">
        <f ca="1">HLOOKUP($A$32,总资产周转率!1:31,17,FALSE)</f>
        <v>0.21310000000000001</v>
      </c>
      <c r="J48" s="17">
        <f ca="1">HLOOKUP($A$32,营业周期倒数!1:31,17,FALSE)</f>
        <v>2.6762297275598139E-2</v>
      </c>
    </row>
    <row r="49" spans="1:10">
      <c r="A49" s="38" t="s">
        <v>59</v>
      </c>
      <c r="B49">
        <f ca="1">HLOOKUP($A$32,营收同比!1:31,18,FALSE)</f>
        <v>28.251899999999999</v>
      </c>
      <c r="C49">
        <f ca="1">HLOOKUP($A$32,归母净利润同比!1:31,18,FALSE)</f>
        <v>146.95670000000001</v>
      </c>
      <c r="D49">
        <f ca="1">HLOOKUP($A$32,ROA!1:31,18,FALSE)</f>
        <v>1.0285</v>
      </c>
      <c r="E49">
        <f ca="1">HLOOKUP($A$32,ROE!1:31,18,FALSE)</f>
        <v>2.1526000000000001</v>
      </c>
      <c r="F49">
        <f ca="1">HLOOKUP($A$32,销售毛利率!1:31,18,FALSE)</f>
        <v>25.247499999999999</v>
      </c>
      <c r="G49">
        <f ca="1">HLOOKUP($A$32,销售净利率!1:31,18,FALSE)</f>
        <v>6.5552000000000001</v>
      </c>
      <c r="H49">
        <f ca="1">HLOOKUP($A$32,资产负债率!1:31,18,FALSE)</f>
        <v>51.133200000000002</v>
      </c>
      <c r="I49">
        <f ca="1">HLOOKUP($A$32,总资产周转率!1:31,18,FALSE)</f>
        <v>0.15690000000000001</v>
      </c>
      <c r="J49" s="17">
        <f ca="1">HLOOKUP($A$32,营业周期倒数!1:31,18,FALSE)</f>
        <v>1.6393442622950821E-2</v>
      </c>
    </row>
    <row r="50" spans="1:10">
      <c r="A50" s="38" t="s">
        <v>60</v>
      </c>
      <c r="B50">
        <f ca="1">HLOOKUP($A$32,营收同比!1:31,19,FALSE)</f>
        <v>29.5611</v>
      </c>
      <c r="C50">
        <f ca="1">HLOOKUP($A$32,归母净利润同比!1:31,19,FALSE)</f>
        <v>73.349100000000007</v>
      </c>
      <c r="D50">
        <f ca="1">HLOOKUP($A$32,ROA!1:31,19,FALSE)</f>
        <v>2.1234999999999999</v>
      </c>
      <c r="E50">
        <f ca="1">HLOOKUP($A$32,ROE!1:31,19,FALSE)</f>
        <v>3.7145999999999999</v>
      </c>
      <c r="F50">
        <f ca="1">HLOOKUP($A$32,销售毛利率!1:31,19,FALSE)</f>
        <v>35.164299999999997</v>
      </c>
      <c r="G50">
        <f ca="1">HLOOKUP($A$32,销售净利率!1:31,19,FALSE)</f>
        <v>11.2788</v>
      </c>
      <c r="H50">
        <f ca="1">HLOOKUP($A$32,资产负债率!1:31,19,FALSE)</f>
        <v>42.470599999999997</v>
      </c>
      <c r="I50">
        <f ca="1">HLOOKUP($A$32,总资产周转率!1:31,19,FALSE)</f>
        <v>0.189</v>
      </c>
      <c r="J50" s="17">
        <f ca="1">HLOOKUP($A$32,营业周期倒数!1:31,19,FALSE)</f>
        <v>1.2508192866327445E-2</v>
      </c>
    </row>
    <row r="51" spans="1:10">
      <c r="A51" s="38" t="s">
        <v>61</v>
      </c>
      <c r="B51">
        <f ca="1">HLOOKUP($A$32,营收同比!1:31,20,FALSE)</f>
        <v>22.511299999999999</v>
      </c>
      <c r="C51">
        <f ca="1">HLOOKUP($A$32,归母净利润同比!1:31,20,FALSE)</f>
        <v>26.553999999999998</v>
      </c>
      <c r="D51">
        <f ca="1">HLOOKUP($A$32,ROA!1:31,20,FALSE)</f>
        <v>4.6752000000000002</v>
      </c>
      <c r="E51">
        <f ca="1">HLOOKUP($A$32,ROE!1:31,20,FALSE)</f>
        <v>6.8893000000000004</v>
      </c>
      <c r="F51">
        <f ca="1">HLOOKUP($A$32,销售毛利率!1:31,20,FALSE)</f>
        <v>49.368899999999996</v>
      </c>
      <c r="G51">
        <f ca="1">HLOOKUP($A$32,销售净利率!1:31,20,FALSE)</f>
        <v>21.700399999999998</v>
      </c>
      <c r="H51">
        <f ca="1">HLOOKUP($A$32,资产负债率!1:31,20,FALSE)</f>
        <v>31.147600000000001</v>
      </c>
      <c r="I51">
        <f ca="1">HLOOKUP($A$32,总资产周转率!1:31,20,FALSE)</f>
        <v>0.21629999999999999</v>
      </c>
      <c r="J51" s="17">
        <f ca="1">HLOOKUP($A$32,营业周期倒数!1:31,20,FALSE)</f>
        <v>0.11142806204314495</v>
      </c>
    </row>
    <row r="52" spans="1:10">
      <c r="A52" s="38" t="s">
        <v>62</v>
      </c>
      <c r="B52">
        <f ca="1">HLOOKUP($A$32,营收同比!1:31,21,FALSE)</f>
        <v>46.496400000000001</v>
      </c>
      <c r="C52">
        <f ca="1">HLOOKUP($A$32,归母净利润同比!1:31,21,FALSE)</f>
        <v>0.5363</v>
      </c>
      <c r="D52">
        <f ca="1">HLOOKUP($A$32,ROA!1:31,21,FALSE)</f>
        <v>1.6278999999999999</v>
      </c>
      <c r="E52">
        <f ca="1">HLOOKUP($A$32,ROE!1:31,21,FALSE)</f>
        <v>3.1353</v>
      </c>
      <c r="F52">
        <f ca="1">HLOOKUP($A$32,销售毛利率!1:31,21,FALSE)</f>
        <v>17.0823</v>
      </c>
      <c r="G52">
        <f ca="1">HLOOKUP($A$32,销售净利率!1:31,21,FALSE)</f>
        <v>7.4348000000000001</v>
      </c>
      <c r="H52">
        <f ca="1">HLOOKUP($A$32,资产负债率!1:31,21,FALSE)</f>
        <v>51.451900000000002</v>
      </c>
      <c r="I52">
        <f ca="1">HLOOKUP($A$32,总资产周转率!1:31,21,FALSE)</f>
        <v>0.219</v>
      </c>
      <c r="J52" s="17">
        <f ca="1">HLOOKUP($A$32,营业周期倒数!1:31,21,FALSE)</f>
        <v>8.1696009149953022E-2</v>
      </c>
    </row>
    <row r="53" spans="1:10">
      <c r="A53" s="38" t="s">
        <v>63</v>
      </c>
      <c r="B53">
        <f ca="1">HLOOKUP($A$32,营收同比!1:31,22,FALSE)</f>
        <v>3.5508999999999999</v>
      </c>
      <c r="C53">
        <f ca="1">HLOOKUP($A$32,归母净利润同比!1:31,22,FALSE)</f>
        <v>4.5803000000000003</v>
      </c>
      <c r="D53">
        <f ca="1">HLOOKUP($A$32,ROA!1:31,22,FALSE)</f>
        <v>0.24479999999999999</v>
      </c>
      <c r="E53">
        <f ca="1">HLOOKUP($A$32,ROE!1:31,22,FALSE)</f>
        <v>3.0200999999999998</v>
      </c>
      <c r="F53" t="str">
        <f ca="1">HLOOKUP($A$32,销售毛利率!1:31,22,FALSE)</f>
        <v>#N/A</v>
      </c>
      <c r="G53">
        <f ca="1">HLOOKUP($A$32,销售净利率!1:31,22,FALSE)</f>
        <v>35.283999999999999</v>
      </c>
      <c r="H53">
        <f ca="1">HLOOKUP($A$32,资产负债率!1:31,22,FALSE)</f>
        <v>91.899500000000003</v>
      </c>
      <c r="I53">
        <f ca="1">HLOOKUP($A$32,总资产周转率!1:31,22,FALSE)</f>
        <v>6.8999999999999999E-3</v>
      </c>
      <c r="J53" s="17" t="e">
        <f ca="1">HLOOKUP($A$32,营业周期倒数!1:31,22,FALSE)</f>
        <v>#VALUE!</v>
      </c>
    </row>
    <row r="54" spans="1:10">
      <c r="A54" s="38" t="s">
        <v>64</v>
      </c>
      <c r="B54">
        <f ca="1">HLOOKUP($A$32,营收同比!1:31,23,FALSE)</f>
        <v>8.1309000000000005</v>
      </c>
      <c r="C54">
        <f ca="1">HLOOKUP($A$32,归母净利润同比!1:31,23,FALSE)</f>
        <v>22.170300000000001</v>
      </c>
      <c r="D54">
        <f ca="1">HLOOKUP($A$32,ROA!1:31,23,FALSE)</f>
        <v>0.48209999999999997</v>
      </c>
      <c r="E54">
        <f ca="1">HLOOKUP($A$32,ROE!1:31,23,FALSE)</f>
        <v>3.1640000000000001</v>
      </c>
      <c r="F54" t="str">
        <f ca="1">HLOOKUP($A$32,销售毛利率!1:31,23,FALSE)</f>
        <v>#N/A</v>
      </c>
      <c r="G54">
        <f ca="1">HLOOKUP($A$32,销售净利率!1:31,23,FALSE)</f>
        <v>11.109299999999999</v>
      </c>
      <c r="H54">
        <f ca="1">HLOOKUP($A$32,资产负债率!1:31,23,FALSE)</f>
        <v>84.634299999999996</v>
      </c>
      <c r="I54">
        <f ca="1">HLOOKUP($A$32,总资产周转率!1:31,23,FALSE)</f>
        <v>4.3900000000000002E-2</v>
      </c>
      <c r="J54" s="17" t="e">
        <f ca="1">HLOOKUP($A$32,营业周期倒数!1:31,23,FALSE)</f>
        <v>#VALUE!</v>
      </c>
    </row>
    <row r="55" spans="1:10">
      <c r="A55" s="38" t="s">
        <v>65</v>
      </c>
      <c r="B55">
        <f ca="1">HLOOKUP($A$32,营收同比!1:31,24,FALSE)</f>
        <v>36.051699999999997</v>
      </c>
      <c r="C55">
        <f ca="1">HLOOKUP($A$32,归母净利润同比!1:31,24,FALSE)</f>
        <v>-14.327</v>
      </c>
      <c r="D55">
        <f ca="1">HLOOKUP($A$32,ROA!1:31,24,FALSE)</f>
        <v>0.19009999999999999</v>
      </c>
      <c r="E55">
        <f ca="1">HLOOKUP($A$32,ROE!1:31,24,FALSE)</f>
        <v>1.0384</v>
      </c>
      <c r="F55">
        <f ca="1">HLOOKUP($A$32,销售毛利率!1:31,24,FALSE)</f>
        <v>22.645700000000001</v>
      </c>
      <c r="G55">
        <f ca="1">HLOOKUP($A$32,销售净利率!1:31,24,FALSE)</f>
        <v>5.4147999999999996</v>
      </c>
      <c r="H55">
        <f ca="1">HLOOKUP($A$32,资产负债率!1:31,24,FALSE)</f>
        <v>79.252300000000005</v>
      </c>
      <c r="I55">
        <f ca="1">HLOOKUP($A$32,总资产周转率!1:31,24,FALSE)</f>
        <v>3.5999999999999997E-2</v>
      </c>
      <c r="J55" s="17">
        <f ca="1">HLOOKUP($A$32,营业周期倒数!1:31,24,FALSE)</f>
        <v>2.2370213613169793E-2</v>
      </c>
    </row>
    <row r="56" spans="1:10">
      <c r="A56" s="38" t="s">
        <v>66</v>
      </c>
      <c r="B56">
        <f ca="1">HLOOKUP($A$32,营收同比!1:31,25,FALSE)</f>
        <v>38.952399999999997</v>
      </c>
      <c r="C56">
        <f ca="1">HLOOKUP($A$32,归母净利润同比!1:31,25,FALSE)</f>
        <v>327.84879999999998</v>
      </c>
      <c r="D56">
        <f ca="1">HLOOKUP($A$32,ROA!1:31,25,FALSE)</f>
        <v>0.52849999999999997</v>
      </c>
      <c r="E56">
        <f ca="1">HLOOKUP($A$32,ROE!1:31,25,FALSE)</f>
        <v>1.3102</v>
      </c>
      <c r="F56">
        <f ca="1">HLOOKUP($A$32,销售毛利率!1:31,25,FALSE)</f>
        <v>9.74</v>
      </c>
      <c r="G56">
        <f ca="1">HLOOKUP($A$32,销售净利率!1:31,25,FALSE)</f>
        <v>4.1401000000000003</v>
      </c>
      <c r="H56">
        <f ca="1">HLOOKUP($A$32,资产负债率!1:31,25,FALSE)</f>
        <v>59.695799999999998</v>
      </c>
      <c r="I56">
        <f ca="1">HLOOKUP($A$32,总资产周转率!1:31,25,FALSE)</f>
        <v>0.12770000000000001</v>
      </c>
      <c r="J56" s="17">
        <f ca="1">HLOOKUP($A$32,营业周期倒数!1:31,25,FALSE)</f>
        <v>4.2120692632669654E-2</v>
      </c>
    </row>
    <row r="57" spans="1:10">
      <c r="A57" s="38" t="s">
        <v>67</v>
      </c>
      <c r="B57">
        <f ca="1">HLOOKUP($A$32,营收同比!1:31,26,FALSE)</f>
        <v>54.159500000000001</v>
      </c>
      <c r="C57">
        <f ca="1">HLOOKUP($A$32,归母净利润同比!1:31,26,FALSE)</f>
        <v>179.58449999999999</v>
      </c>
      <c r="D57">
        <f ca="1">HLOOKUP($A$32,ROA!1:31,26,FALSE)</f>
        <v>1.337</v>
      </c>
      <c r="E57">
        <f ca="1">HLOOKUP($A$32,ROE!1:31,26,FALSE)</f>
        <v>2.8751000000000002</v>
      </c>
      <c r="F57">
        <f ca="1">HLOOKUP($A$32,销售毛利率!1:31,26,FALSE)</f>
        <v>21.9451</v>
      </c>
      <c r="G57">
        <f ca="1">HLOOKUP($A$32,销售净利率!1:31,26,FALSE)</f>
        <v>8.2213999999999992</v>
      </c>
      <c r="H57">
        <f ca="1">HLOOKUP($A$32,资产负债率!1:31,26,FALSE)</f>
        <v>50.871699999999997</v>
      </c>
      <c r="I57">
        <f ca="1">HLOOKUP($A$32,总资产周转率!1:31,26,FALSE)</f>
        <v>0.16259999999999999</v>
      </c>
      <c r="J57" s="17">
        <f ca="1">HLOOKUP($A$32,营业周期倒数!1:31,26,FALSE)</f>
        <v>1.3578101238322834E-2</v>
      </c>
    </row>
    <row r="58" spans="1:10">
      <c r="A58" s="38" t="s">
        <v>68</v>
      </c>
      <c r="B58">
        <f ca="1">HLOOKUP($A$32,营收同比!1:31,27,FALSE)</f>
        <v>20.067</v>
      </c>
      <c r="C58">
        <f ca="1">HLOOKUP($A$32,归母净利润同比!1:31,27,FALSE)</f>
        <v>90.828100000000006</v>
      </c>
      <c r="D58">
        <f ca="1">HLOOKUP($A$32,ROA!1:31,27,FALSE)</f>
        <v>0.78320000000000001</v>
      </c>
      <c r="E58">
        <f ca="1">HLOOKUP($A$32,ROE!1:31,27,FALSE)</f>
        <v>1.7266999999999999</v>
      </c>
      <c r="F58">
        <f ca="1">HLOOKUP($A$32,销售毛利率!1:31,27,FALSE)</f>
        <v>18.7822</v>
      </c>
      <c r="G58">
        <f ca="1">HLOOKUP($A$32,销售净利率!1:31,27,FALSE)</f>
        <v>4.1143000000000001</v>
      </c>
      <c r="H58">
        <f ca="1">HLOOKUP($A$32,资产负债率!1:31,27,FALSE)</f>
        <v>48.733199999999997</v>
      </c>
      <c r="I58">
        <f ca="1">HLOOKUP($A$32,总资产周转率!1:31,27,FALSE)</f>
        <v>0.19040000000000001</v>
      </c>
      <c r="J58" s="17">
        <f ca="1">HLOOKUP($A$32,营业周期倒数!1:31,27,FALSE)</f>
        <v>1.4589658558220761E-2</v>
      </c>
    </row>
    <row r="59" spans="1:10">
      <c r="A59" s="38" t="s">
        <v>69</v>
      </c>
      <c r="B59">
        <f ca="1">HLOOKUP($A$32,营收同比!1:31,28,FALSE)</f>
        <v>32.210700000000003</v>
      </c>
      <c r="C59">
        <f ca="1">HLOOKUP($A$32,归母净利润同比!1:31,28,FALSE)</f>
        <v>866.14260000000002</v>
      </c>
      <c r="D59">
        <f ca="1">HLOOKUP($A$32,ROA!1:31,28,FALSE)</f>
        <v>0.3805</v>
      </c>
      <c r="E59">
        <f ca="1">HLOOKUP($A$32,ROE!1:31,28,FALSE)</f>
        <v>0.73080000000000001</v>
      </c>
      <c r="F59">
        <f ca="1">HLOOKUP($A$32,销售毛利率!1:31,28,FALSE)</f>
        <v>18.616599999999998</v>
      </c>
      <c r="G59">
        <f ca="1">HLOOKUP($A$32,销售净利率!1:31,28,FALSE)</f>
        <v>2.2012999999999998</v>
      </c>
      <c r="H59">
        <f ca="1">HLOOKUP($A$32,资产负债率!1:31,28,FALSE)</f>
        <v>49.2654</v>
      </c>
      <c r="I59">
        <f ca="1">HLOOKUP($A$32,总资产周转率!1:31,28,FALSE)</f>
        <v>0.17399999999999999</v>
      </c>
      <c r="J59" s="17">
        <f ca="1">HLOOKUP($A$32,营业周期倒数!1:31,28,FALSE)</f>
        <v>1.1494569965148463E-2</v>
      </c>
    </row>
    <row r="60" spans="1:10">
      <c r="A60" s="38" t="s">
        <v>70</v>
      </c>
      <c r="B60">
        <f ca="1">HLOOKUP($A$32,营收同比!1:31,29,FALSE)</f>
        <v>19.6586</v>
      </c>
      <c r="C60">
        <f ca="1">HLOOKUP($A$32,归母净利润同比!1:31,29,FALSE)</f>
        <v>83.951800000000006</v>
      </c>
      <c r="D60">
        <f ca="1">HLOOKUP($A$32,ROA!1:31,29,FALSE)</f>
        <v>1.0801000000000001</v>
      </c>
      <c r="E60">
        <f ca="1">HLOOKUP($A$32,ROE!1:31,29,FALSE)</f>
        <v>1.7826</v>
      </c>
      <c r="F60">
        <f ca="1">HLOOKUP($A$32,销售毛利率!1:31,29,FALSE)</f>
        <v>30.2028</v>
      </c>
      <c r="G60">
        <f ca="1">HLOOKUP($A$32,销售净利率!1:31,29,FALSE)</f>
        <v>9.0431000000000008</v>
      </c>
      <c r="H60">
        <f ca="1">HLOOKUP($A$32,资产负债率!1:31,29,FALSE)</f>
        <v>39.6008</v>
      </c>
      <c r="I60">
        <f ca="1">HLOOKUP($A$32,总资产周转率!1:31,29,FALSE)</f>
        <v>0.1195</v>
      </c>
      <c r="J60" s="17">
        <f ca="1">HLOOKUP($A$32,营业周期倒数!1:31,29,FALSE)</f>
        <v>1.2131785155790319E-2</v>
      </c>
    </row>
    <row r="61" spans="1:10">
      <c r="A61" s="38" t="s">
        <v>71</v>
      </c>
      <c r="B61">
        <f ca="1">HLOOKUP($A$32,营收同比!1:31,30,FALSE)</f>
        <v>46.536499999999997</v>
      </c>
      <c r="C61">
        <f ca="1">HLOOKUP($A$32,归母净利润同比!1:31,30,FALSE)</f>
        <v>108.9538</v>
      </c>
      <c r="D61">
        <f ca="1">HLOOKUP($A$32,ROA!1:31,30,FALSE)</f>
        <v>0.25690000000000002</v>
      </c>
      <c r="E61">
        <f ca="1">HLOOKUP($A$32,ROE!1:31,30,FALSE)</f>
        <v>0.65780000000000005</v>
      </c>
      <c r="F61">
        <f ca="1">HLOOKUP($A$32,销售毛利率!1:31,30,FALSE)</f>
        <v>8.1353000000000009</v>
      </c>
      <c r="G61">
        <f ca="1">HLOOKUP($A$32,销售净利率!1:31,30,FALSE)</f>
        <v>1.3046</v>
      </c>
      <c r="H61">
        <f ca="1">HLOOKUP($A$32,资产负债率!1:31,30,FALSE)</f>
        <v>67.332999999999998</v>
      </c>
      <c r="I61">
        <f ca="1">HLOOKUP($A$32,总资产周转率!1:31,30,FALSE)</f>
        <v>0.19769999999999999</v>
      </c>
      <c r="J61" s="17">
        <f ca="1">HLOOKUP($A$32,营业周期倒数!1:31,30,FALSE)</f>
        <v>3.3318784130929494E-2</v>
      </c>
    </row>
    <row r="62" spans="1:10" ht="17" thickBot="1">
      <c r="A62" s="40" t="s">
        <v>72</v>
      </c>
      <c r="B62">
        <f ca="1">HLOOKUP($A$32,营收同比!1:31,31,FALSE)</f>
        <v>28.488499999999998</v>
      </c>
      <c r="C62">
        <f ca="1">HLOOKUP($A$32,归母净利润同比!1:31,31,FALSE)</f>
        <v>50.931600000000003</v>
      </c>
      <c r="D62">
        <f ca="1">HLOOKUP($A$32,ROA!1:31,31,FALSE)</f>
        <v>0.50329999999999997</v>
      </c>
      <c r="E62">
        <f ca="1">HLOOKUP($A$32,ROE!1:31,31,FALSE)</f>
        <v>1.2468999999999999</v>
      </c>
      <c r="F62">
        <f ca="1">HLOOKUP($A$32,销售毛利率!1:31,31,FALSE)</f>
        <v>12.117100000000001</v>
      </c>
      <c r="G62">
        <f ca="1">HLOOKUP($A$32,销售净利率!1:31,31,FALSE)</f>
        <v>10.361000000000001</v>
      </c>
      <c r="H62">
        <f ca="1">HLOOKUP($A$32,资产负债率!1:31,31,FALSE)</f>
        <v>63.226399999999998</v>
      </c>
      <c r="I62">
        <f ca="1">HLOOKUP($A$32,总资产周转率!1:31,31,FALSE)</f>
        <v>7.6100000000000001E-2</v>
      </c>
      <c r="J62" s="17">
        <f ca="1">HLOOKUP($A$32,营业周期倒数!1:31,31,FALSE)</f>
        <v>4.3551730745779837E-2</v>
      </c>
    </row>
  </sheetData>
  <phoneticPr fontId="2" type="noConversion"/>
  <conditionalFormatting sqref="B1:B31 B34:B1048576">
    <cfRule type="colorScale" priority="39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1:C31 C34:C1048576">
    <cfRule type="colorScale" priority="39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1:D31 D34:D1048576">
    <cfRule type="colorScale" priority="39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1:E31 E34:E1048576">
    <cfRule type="colorScale" priority="40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:F31 F34:F1048576">
    <cfRule type="colorScale" priority="40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1:G31 G34:G1048576">
    <cfRule type="colorScale" priority="40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1:H31 H34:H1048576">
    <cfRule type="colorScale" priority="41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1:I31 I34:I1048576">
    <cfRule type="colorScale" priority="41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1:J31 J34:J1048576">
    <cfRule type="colorScale" priority="4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4:B1048576 B1">
    <cfRule type="colorScale" priority="453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45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4:C1048576 C1">
    <cfRule type="colorScale" priority="459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46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4:D1048576 D1">
    <cfRule type="colorScale" priority="46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4:E1048576 E1">
    <cfRule type="colorScale" priority="46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4:F1048576 F1">
    <cfRule type="colorScale" priority="47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4:G1048576 G1">
    <cfRule type="colorScale" priority="47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4:H1048576 H1">
    <cfRule type="colorScale" priority="47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4:I1048576 I1">
    <cfRule type="colorScale" priority="48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4:J1048576 J1">
    <cfRule type="colorScale" priority="48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4:B1048576 B1">
    <cfRule type="colorScale" priority="48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4:C1048576 C1">
    <cfRule type="colorScale" priority="48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4:D1048576">
    <cfRule type="colorScale" priority="49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4:E1048576">
    <cfRule type="colorScale" priority="49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4:F1048576">
    <cfRule type="colorScale" priority="49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4:G1048576">
    <cfRule type="colorScale" priority="49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4:H1048576">
    <cfRule type="colorScale" priority="50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4:I1048576">
    <cfRule type="colorScale" priority="50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4:J1048576">
    <cfRule type="colorScale" priority="50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4:B1048576">
    <cfRule type="colorScale" priority="50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4:C1048576">
    <cfRule type="colorScale" priority="50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2">
    <cfRule type="colorScale" priority="4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2">
    <cfRule type="colorScale" priority="4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2">
    <cfRule type="colorScale" priority="4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2">
    <cfRule type="colorScale" priority="4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2">
    <cfRule type="colorScale" priority="4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2">
    <cfRule type="colorScale" priority="4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2">
    <cfRule type="colorScale" priority="4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2">
    <cfRule type="colorScale" priority="4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2">
    <cfRule type="colorScale" priority="5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2">
    <cfRule type="colorScale" priority="51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5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2">
    <cfRule type="colorScale" priority="53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5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2">
    <cfRule type="colorScale" priority="5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2">
    <cfRule type="colorScale" priority="5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2">
    <cfRule type="colorScale" priority="5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2">
    <cfRule type="colorScale" priority="5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2">
    <cfRule type="colorScale" priority="5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2">
    <cfRule type="colorScale" priority="6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2">
    <cfRule type="colorScale" priority="6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2">
    <cfRule type="colorScale" priority="6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2">
    <cfRule type="colorScale" priority="6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3:B62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3:C62">
    <cfRule type="colorScale" priority="3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3:J62">
    <cfRule type="colorScale" priority="3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3:D62">
    <cfRule type="colorScale" priority="3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3:E62">
    <cfRule type="colorScale" priority="3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3:F62">
    <cfRule type="colorScale" priority="3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3:G62">
    <cfRule type="colorScale" priority="3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3:H62">
    <cfRule type="colorScale" priority="3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3:I62">
    <cfRule type="colorScale" priority="3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2:K31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{99F6B2D5-6D90-C047-A460-E000C88F8CC5}</x14:id>
        </ext>
      </extLst>
    </cfRule>
  </conditionalFormatting>
  <conditionalFormatting sqref="L2:L31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{AAFF0910-FE71-5F42-A02D-F7D3781B3FC3}</x14:id>
        </ext>
      </extLst>
    </cfRule>
  </conditionalFormatting>
  <conditionalFormatting sqref="M2:M31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{2219E126-C743-0541-8AB0-9570960924E3}</x14:id>
        </ext>
      </extLst>
    </cfRule>
  </conditionalFormatting>
  <conditionalFormatting sqref="N2:N31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{368A820D-C247-F84A-93FB-D9AE109F786E}</x14:id>
        </ext>
      </extLst>
    </cfRule>
  </conditionalFormatting>
  <conditionalFormatting sqref="O2:O31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{1C97CB51-D7C9-D640-AFDB-6964A60698FE}</x14:id>
        </ext>
      </extLst>
    </cfRule>
  </conditionalFormatting>
  <conditionalFormatting sqref="P2:P31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{DBA4748F-DB20-1041-8CE7-12270C201E48}</x14:id>
        </ext>
      </extLst>
    </cfRule>
  </conditionalFormatting>
  <conditionalFormatting sqref="Q2:Q31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{2842C49B-082A-664B-86ED-8B4A3FBD92BC}</x14:id>
        </ext>
      </extLst>
    </cfRule>
  </conditionalFormatting>
  <conditionalFormatting sqref="R2:R3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{B1BB6E16-A586-8F47-B564-06F155E5D94D}</x14:id>
        </ext>
      </extLst>
    </cfRule>
  </conditionalFormatting>
  <conditionalFormatting sqref="S2:S3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{2723130F-938B-CA45-A3F1-42F110CD05CD}</x14:id>
        </ext>
      </extLst>
    </cfRule>
  </conditionalFormatting>
  <hyperlinks>
    <hyperlink ref="B1" location="营收同比!A1" display="营收同比" xr:uid="{2869469D-56CE-174E-A11A-CAD37F76D675}"/>
    <hyperlink ref="C1" location="归母净利润同比!A1" display="归母净利润同比" xr:uid="{6769ACFE-5F4D-CD47-9AEA-CEF5A7E931E7}"/>
    <hyperlink ref="D1" location="ROA!A1" display="ROA" xr:uid="{67FF726F-EF2D-4448-BC01-11778E400DEB}"/>
    <hyperlink ref="E1" location="ROE!A1" display="ROE" xr:uid="{1A66CD25-4DDF-914B-955F-376748E5DAAE}"/>
    <hyperlink ref="F1" location="销售毛利率!A1" display="销售毛利率" xr:uid="{C6981B67-EC6A-C34E-ABE8-52EE9180ED3C}"/>
    <hyperlink ref="G1" location="销售净利率!A1" display="销售净利率" xr:uid="{8396B352-CB70-A14E-A9F2-CAC252D7697D}"/>
    <hyperlink ref="H1" location="资产负债率!A1" display="资产负债率" xr:uid="{D9EBF01C-C0E5-9D40-957C-D100BCAA0DD9}"/>
    <hyperlink ref="I1" location="总资产周转率!A1" display="总资产周转率" xr:uid="{B06ACF3D-ED12-8C40-8AF5-64B67B2B175E}"/>
    <hyperlink ref="J1" location="营业周期!A1" display="营业周期" xr:uid="{52841310-0CB7-854D-AB3B-5CFA9A363D12}"/>
    <hyperlink ref="B32" location="营收同比!A1" display="营收同比" xr:uid="{D7DB0889-F205-4E4C-AFA1-F357A363BD94}"/>
    <hyperlink ref="C32" location="归母净利润同比!A1" display="归母净利润同比" xr:uid="{9890DCF0-4288-FF42-B5B6-C17D4F25E295}"/>
    <hyperlink ref="D32" location="ROA!A1" display="ROA" xr:uid="{9DE5D2D0-A677-2C42-B998-F2267DB02744}"/>
    <hyperlink ref="E32" location="ROE!A1" display="ROE" xr:uid="{7C41169A-7C99-A34D-99DF-468D79FD21AB}"/>
    <hyperlink ref="F32" location="销售毛利率!A1" display="销售毛利率" xr:uid="{35435C1A-AC48-B448-B98E-B16B6B9B28B9}"/>
    <hyperlink ref="G32" location="销售净利率!A1" display="销售净利率" xr:uid="{5742C23C-C3AB-B44B-8F62-302EA45216D2}"/>
    <hyperlink ref="H32" location="资产负债率!A1" display="资产负债率" xr:uid="{1166AF52-D1A9-9C4B-B569-4413AEA5B92D}"/>
    <hyperlink ref="I32" location="总资产周转率!A1" display="总资产周转率" xr:uid="{A2D903C5-6F7F-3A4C-85E7-D94D16E88697}"/>
    <hyperlink ref="J32" location="营业周期!A1" display="营业周期" xr:uid="{2E63D8EE-B173-2142-81D7-586B13526C7F}"/>
    <hyperlink ref="S1" location="营业周期!A1" display="营业周期" xr:uid="{A230F4E3-CFF4-8A46-A10E-70A00E6516DE}"/>
    <hyperlink ref="R1" location="总资产周转率!A1" display="总资产周转率" xr:uid="{B5255BED-7AAF-6541-B71C-53B56C44B3E6}"/>
    <hyperlink ref="Q1" location="资产负债率!A1" display="资产负债率" xr:uid="{89979799-6FA3-6C4B-B138-DDC747A1473B}"/>
    <hyperlink ref="P1" location="销售净利率!A1" display="销售净利率" xr:uid="{F43A7C47-E06F-7B40-B0E3-BDAF26ACE575}"/>
    <hyperlink ref="O1" location="销售毛利率!A1" display="销售毛利率" xr:uid="{4BC1940A-6517-F441-AFD4-F24F6C28DC5A}"/>
    <hyperlink ref="N1" location="ROE!A1" display="ROE" xr:uid="{3114F7BA-7D93-E548-B135-F38987BAD0AC}"/>
    <hyperlink ref="M1" location="ROA!A1" display="ROA" xr:uid="{D7F9FA99-5662-4D4A-B486-FACA0758B3DC}"/>
    <hyperlink ref="L1" location="归母净利润同比!A1" display="归母净利润同比" xr:uid="{75866120-ACCD-2B43-846B-73BC4707C4B4}"/>
    <hyperlink ref="K1" location="营收同比!A1" display="营收同比" xr:uid="{1AF2BB2F-815A-D54B-8462-D1178062B03B}"/>
  </hyperlinks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F6B2D5-6D90-C047-A460-E000C88F8C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K2:K31</xm:sqref>
        </x14:conditionalFormatting>
        <x14:conditionalFormatting xmlns:xm="http://schemas.microsoft.com/office/excel/2006/main">
          <x14:cfRule type="dataBar" id="{AAFF0910-FE71-5F42-A02D-F7D3781B3F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L2:L31</xm:sqref>
        </x14:conditionalFormatting>
        <x14:conditionalFormatting xmlns:xm="http://schemas.microsoft.com/office/excel/2006/main">
          <x14:cfRule type="dataBar" id="{2219E126-C743-0541-8AB0-9570960924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M2:M31</xm:sqref>
        </x14:conditionalFormatting>
        <x14:conditionalFormatting xmlns:xm="http://schemas.microsoft.com/office/excel/2006/main">
          <x14:cfRule type="dataBar" id="{368A820D-C247-F84A-93FB-D9AE109F78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N2:N31</xm:sqref>
        </x14:conditionalFormatting>
        <x14:conditionalFormatting xmlns:xm="http://schemas.microsoft.com/office/excel/2006/main">
          <x14:cfRule type="dataBar" id="{1C97CB51-D7C9-D640-AFDB-6964A60698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O2:O31</xm:sqref>
        </x14:conditionalFormatting>
        <x14:conditionalFormatting xmlns:xm="http://schemas.microsoft.com/office/excel/2006/main">
          <x14:cfRule type="dataBar" id="{DBA4748F-DB20-1041-8CE7-12270C201E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P2:P31</xm:sqref>
        </x14:conditionalFormatting>
        <x14:conditionalFormatting xmlns:xm="http://schemas.microsoft.com/office/excel/2006/main">
          <x14:cfRule type="dataBar" id="{2842C49B-082A-664B-86ED-8B4A3FBD92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Q2:Q31</xm:sqref>
        </x14:conditionalFormatting>
        <x14:conditionalFormatting xmlns:xm="http://schemas.microsoft.com/office/excel/2006/main">
          <x14:cfRule type="dataBar" id="{B1BB6E16-A586-8F47-B564-06F155E5D9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R2:R31</xm:sqref>
        </x14:conditionalFormatting>
        <x14:conditionalFormatting xmlns:xm="http://schemas.microsoft.com/office/excel/2006/main">
          <x14:cfRule type="dataBar" id="{2723130F-938B-CA45-A3F1-42F110CD05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S2:S31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8506CE-F846-2F44-ABBD-CD686C0A221A}">
          <x14:formula1>
            <xm:f>分行业时间序列!$B$1:$X$1</xm:f>
          </x14:formula1>
          <xm:sqref>A1 A32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000EF-2CD4-1845-AACC-4CD5CD370DFC}">
  <sheetPr codeName="Sheet12">
    <tabColor theme="7"/>
  </sheetPr>
  <dimension ref="A1:X2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baseColWidth="10" defaultRowHeight="16"/>
  <cols>
    <col min="1" max="1" width="16.33203125" bestFit="1" customWidth="1"/>
    <col min="2" max="24" width="13.33203125" bestFit="1" customWidth="1"/>
    <col min="25" max="25" width="12" bestFit="1" customWidth="1"/>
  </cols>
  <sheetData>
    <row r="1" spans="1:24" s="9" customFormat="1">
      <c r="A1" s="16" t="s">
        <v>49</v>
      </c>
      <c r="B1" s="11">
        <f ca="1">[1]!TDays("2016-01-01",TODAY(),"Days=Alldays","Period=Q","Direction=H","Order=D","cols=23;rows=1")</f>
        <v>44440</v>
      </c>
      <c r="C1" s="11">
        <v>44377</v>
      </c>
      <c r="D1" s="11">
        <v>44286</v>
      </c>
      <c r="E1" s="11">
        <v>44196</v>
      </c>
      <c r="F1" s="11">
        <v>44104</v>
      </c>
      <c r="G1" s="11">
        <v>44012</v>
      </c>
      <c r="H1" s="11">
        <v>43921</v>
      </c>
      <c r="I1" s="11">
        <v>43830</v>
      </c>
      <c r="J1" s="11">
        <v>43738</v>
      </c>
      <c r="K1" s="11">
        <v>43646</v>
      </c>
      <c r="L1" s="11">
        <v>43555</v>
      </c>
      <c r="M1" s="11">
        <v>43465</v>
      </c>
      <c r="N1" s="11">
        <v>43373</v>
      </c>
      <c r="O1" s="11">
        <v>43281</v>
      </c>
      <c r="P1" s="11">
        <v>43190</v>
      </c>
      <c r="Q1" s="11">
        <v>43100</v>
      </c>
      <c r="R1" s="11">
        <v>43008</v>
      </c>
      <c r="S1" s="11">
        <v>42916</v>
      </c>
      <c r="T1" s="11">
        <v>42825</v>
      </c>
      <c r="U1" s="11">
        <v>42735</v>
      </c>
      <c r="V1" s="11">
        <v>42643</v>
      </c>
      <c r="W1" s="11">
        <v>42551</v>
      </c>
      <c r="X1" s="11">
        <v>42460</v>
      </c>
    </row>
    <row r="2" spans="1:24">
      <c r="A2" s="15" t="s">
        <v>31</v>
      </c>
      <c r="B2" t="str">
        <f ca="1">VLOOKUP($A$1,营收同比!B:ZZ,2,FALSE)</f>
        <v>#N/A</v>
      </c>
      <c r="C2">
        <f ca="1">VLOOKUP($A$1,营收同比!B:ZZ,3,FALSE)</f>
        <v>29.851900000000001</v>
      </c>
      <c r="D2">
        <f ca="1">VLOOKUP($A$1,营收同比!B:ZZ,4,FALSE)</f>
        <v>54.606499999999997</v>
      </c>
      <c r="E2">
        <f ca="1">VLOOKUP($A$1,营收同比!B:ZZ,5,FALSE)</f>
        <v>12.2563</v>
      </c>
      <c r="F2">
        <f ca="1">VLOOKUP($A$1,营收同比!B:ZZ,6,FALSE)</f>
        <v>11.398999999999999</v>
      </c>
      <c r="G2">
        <f ca="1">VLOOKUP($A$1,营收同比!B:ZZ,7,FALSE)</f>
        <v>5.9047999999999998</v>
      </c>
      <c r="H2">
        <f ca="1">VLOOKUP($A$1,营收同比!B:ZZ,8,FALSE)</f>
        <v>-8.8664000000000005</v>
      </c>
      <c r="I2">
        <f ca="1">VLOOKUP($A$1,营收同比!B:ZZ,9,FALSE)</f>
        <v>15.6973</v>
      </c>
      <c r="J2">
        <f ca="1">VLOOKUP($A$1,营收同比!B:ZZ,10,FALSE)</f>
        <v>16.015499999999999</v>
      </c>
      <c r="K2">
        <f ca="1">VLOOKUP($A$1,营收同比!B:ZZ,11,FALSE)</f>
        <v>15.8187</v>
      </c>
      <c r="L2">
        <f ca="1">VLOOKUP($A$1,营收同比!B:ZZ,12,FALSE)</f>
        <v>13.401400000000001</v>
      </c>
      <c r="M2">
        <f ca="1">VLOOKUP($A$1,营收同比!B:ZZ,13,FALSE)</f>
        <v>10.4306</v>
      </c>
      <c r="N2">
        <f ca="1">VLOOKUP($A$1,营收同比!B:ZZ,14,FALSE)</f>
        <v>9.2373999999999992</v>
      </c>
      <c r="O2">
        <f ca="1">VLOOKUP($A$1,营收同比!B:ZZ,15,FALSE)</f>
        <v>10.963100000000001</v>
      </c>
      <c r="P2">
        <f ca="1">VLOOKUP($A$1,营收同比!B:ZZ,16,FALSE)</f>
        <v>13.785</v>
      </c>
      <c r="Q2">
        <f ca="1">VLOOKUP($A$1,营收同比!B:ZZ,17,FALSE)</f>
        <v>8.9693000000000005</v>
      </c>
      <c r="R2">
        <f ca="1">VLOOKUP($A$1,营收同比!B:ZZ,18,FALSE)</f>
        <v>9.4916999999999998</v>
      </c>
      <c r="S2">
        <f ca="1">VLOOKUP($A$1,营收同比!B:ZZ,19,FALSE)</f>
        <v>8.6462000000000003</v>
      </c>
      <c r="T2">
        <f ca="1">VLOOKUP($A$1,营收同比!B:ZZ,20,FALSE)</f>
        <v>4.3594999999999997</v>
      </c>
      <c r="U2">
        <f ca="1">VLOOKUP($A$1,营收同比!B:ZZ,21,FALSE)</f>
        <v>5.7910000000000004</v>
      </c>
      <c r="V2">
        <f ca="1">VLOOKUP($A$1,营收同比!B:ZZ,22,FALSE)</f>
        <v>4.9459999999999997</v>
      </c>
      <c r="W2">
        <f ca="1">VLOOKUP($A$1,营收同比!B:ZZ,23,FALSE)</f>
        <v>4.7991000000000001</v>
      </c>
      <c r="X2">
        <f ca="1">VLOOKUP($A$1,营收同比!B:ZZ,24,FALSE)</f>
        <v>4.1821999999999999</v>
      </c>
    </row>
    <row r="3" spans="1:24">
      <c r="A3" s="15" t="s">
        <v>32</v>
      </c>
      <c r="B3" t="str">
        <f ca="1">VLOOKUP($A$1,归母净利润同比!B:ZZ,2,FALSE)</f>
        <v>#N/A</v>
      </c>
      <c r="C3">
        <f ca="1">VLOOKUP($A$1,归母净利润同比!B:ZZ,3,FALSE)</f>
        <v>32.9345</v>
      </c>
      <c r="D3">
        <f ca="1">VLOOKUP($A$1,归母净利润同比!B:ZZ,4,FALSE)</f>
        <v>71.797799999999995</v>
      </c>
      <c r="E3">
        <f ca="1">VLOOKUP($A$1,归母净利润同比!B:ZZ,5,FALSE)</f>
        <v>3.5461</v>
      </c>
      <c r="F3">
        <f ca="1">VLOOKUP($A$1,归母净利润同比!B:ZZ,6,FALSE)</f>
        <v>-0.28179999999999999</v>
      </c>
      <c r="G3">
        <f ca="1">VLOOKUP($A$1,归母净利润同比!B:ZZ,7,FALSE)</f>
        <v>-8.3505000000000003</v>
      </c>
      <c r="H3">
        <f ca="1">VLOOKUP($A$1,归母净利润同比!B:ZZ,8,FALSE)</f>
        <v>-27.1371</v>
      </c>
      <c r="I3">
        <f ca="1">VLOOKUP($A$1,归母净利润同比!B:ZZ,9,FALSE)</f>
        <v>4.3140000000000001</v>
      </c>
      <c r="J3">
        <f ca="1">VLOOKUP($A$1,归母净利润同比!B:ZZ,10,FALSE)</f>
        <v>7.8212999999999999</v>
      </c>
      <c r="K3">
        <f ca="1">VLOOKUP($A$1,归母净利润同比!B:ZZ,11,FALSE)</f>
        <v>4.7530000000000001</v>
      </c>
      <c r="L3">
        <f ca="1">VLOOKUP($A$1,归母净利润同比!B:ZZ,12,FALSE)</f>
        <v>13.823499999999999</v>
      </c>
      <c r="M3">
        <f ca="1">VLOOKUP($A$1,归母净利润同比!B:ZZ,13,FALSE)</f>
        <v>6.5773000000000001</v>
      </c>
      <c r="N3">
        <f ca="1">VLOOKUP($A$1,归母净利润同比!B:ZZ,14,FALSE)</f>
        <v>10.669499999999999</v>
      </c>
      <c r="O3">
        <f ca="1">VLOOKUP($A$1,归母净利润同比!B:ZZ,15,FALSE)</f>
        <v>13.363899999999999</v>
      </c>
      <c r="P3">
        <f ca="1">VLOOKUP($A$1,归母净利润同比!B:ZZ,16,FALSE)</f>
        <v>15.0084</v>
      </c>
      <c r="Q3">
        <f ca="1">VLOOKUP($A$1,归母净利润同比!B:ZZ,17,FALSE)</f>
        <v>18.428899999999999</v>
      </c>
      <c r="R3">
        <f ca="1">VLOOKUP($A$1,归母净利润同比!B:ZZ,18,FALSE)</f>
        <v>11.185700000000001</v>
      </c>
      <c r="S3">
        <f ca="1">VLOOKUP($A$1,归母净利润同比!B:ZZ,19,FALSE)</f>
        <v>16.055900000000001</v>
      </c>
      <c r="T3">
        <f ca="1">VLOOKUP($A$1,归母净利润同比!B:ZZ,20,FALSE)</f>
        <v>12.862500000000001</v>
      </c>
      <c r="U3">
        <f ca="1">VLOOKUP($A$1,归母净利润同比!B:ZZ,21,FALSE)</f>
        <v>10.684799999999999</v>
      </c>
      <c r="V3">
        <f ca="1">VLOOKUP($A$1,归母净利润同比!B:ZZ,22,FALSE)</f>
        <v>16.417000000000002</v>
      </c>
      <c r="W3">
        <f ca="1">VLOOKUP($A$1,归母净利润同比!B:ZZ,23,FALSE)</f>
        <v>10.907</v>
      </c>
      <c r="X3">
        <f ca="1">VLOOKUP($A$1,归母净利润同比!B:ZZ,24,FALSE)</f>
        <v>11.6493</v>
      </c>
    </row>
    <row r="4" spans="1:24">
      <c r="A4" s="15" t="s">
        <v>73</v>
      </c>
      <c r="B4">
        <f ca="1">VLOOKUP($A$1,ROA!B:ZZ,2,FALSE)</f>
        <v>1.1638999999999999</v>
      </c>
      <c r="C4">
        <f ca="1">VLOOKUP($A$1,ROA!B:ZZ,3,FALSE)</f>
        <v>1.1638999999999999</v>
      </c>
      <c r="D4">
        <f ca="1">VLOOKUP($A$1,ROA!B:ZZ,4,FALSE)</f>
        <v>0.48909999999999998</v>
      </c>
      <c r="E4">
        <f ca="1">VLOOKUP($A$1,ROA!B:ZZ,5,FALSE)</f>
        <v>2.2378999999999998</v>
      </c>
      <c r="F4">
        <f ca="1">VLOOKUP($A$1,ROA!B:ZZ,6,FALSE)</f>
        <v>1.5610999999999999</v>
      </c>
      <c r="G4">
        <f ca="1">VLOOKUP($A$1,ROA!B:ZZ,7,FALSE)</f>
        <v>1.0066999999999999</v>
      </c>
      <c r="H4">
        <f ca="1">VLOOKUP($A$1,ROA!B:ZZ,8,FALSE)</f>
        <v>0.32350000000000001</v>
      </c>
      <c r="I4">
        <f ca="1">VLOOKUP($A$1,ROA!B:ZZ,9,FALSE)</f>
        <v>2.2938000000000001</v>
      </c>
      <c r="J4">
        <f ca="1">VLOOKUP($A$1,ROA!B:ZZ,10,FALSE)</f>
        <v>1.7097</v>
      </c>
      <c r="K4">
        <f ca="1">VLOOKUP($A$1,ROA!B:ZZ,11,FALSE)</f>
        <v>1.1838</v>
      </c>
      <c r="L4">
        <f ca="1">VLOOKUP($A$1,ROA!B:ZZ,12,FALSE)</f>
        <v>0.4919</v>
      </c>
      <c r="M4">
        <f ca="1">VLOOKUP($A$1,ROA!B:ZZ,13,FALSE)</f>
        <v>2.3993000000000002</v>
      </c>
      <c r="N4">
        <f ca="1">VLOOKUP($A$1,ROA!B:ZZ,14,FALSE)</f>
        <v>1.7176</v>
      </c>
      <c r="O4">
        <f ca="1">VLOOKUP($A$1,ROA!B:ZZ,15,FALSE)</f>
        <v>1.2148000000000001</v>
      </c>
      <c r="P4">
        <f ca="1">VLOOKUP($A$1,ROA!B:ZZ,16,FALSE)</f>
        <v>0.48559999999999998</v>
      </c>
      <c r="Q4">
        <f ca="1">VLOOKUP($A$1,ROA!B:ZZ,17,FALSE)</f>
        <v>2.4740000000000002</v>
      </c>
      <c r="R4">
        <f ca="1">VLOOKUP($A$1,ROA!B:ZZ,18,FALSE)</f>
        <v>1.7048000000000001</v>
      </c>
      <c r="S4">
        <f ca="1">VLOOKUP($A$1,ROA!B:ZZ,19,FALSE)</f>
        <v>1.1682999999999999</v>
      </c>
      <c r="T4">
        <f ca="1">VLOOKUP($A$1,ROA!B:ZZ,20,FALSE)</f>
        <v>0.45850000000000002</v>
      </c>
      <c r="U4">
        <f ca="1">VLOOKUP($A$1,ROA!B:ZZ,21,FALSE)</f>
        <v>2.351</v>
      </c>
      <c r="V4">
        <f ca="1">VLOOKUP($A$1,ROA!B:ZZ,22,FALSE)</f>
        <v>1.7098</v>
      </c>
      <c r="W4">
        <f ca="1">VLOOKUP($A$1,ROA!B:ZZ,23,FALSE)</f>
        <v>1.1423000000000001</v>
      </c>
      <c r="X4">
        <f ca="1">VLOOKUP($A$1,ROA!B:ZZ,24,FALSE)</f>
        <v>0.46279999999999999</v>
      </c>
    </row>
    <row r="5" spans="1:24">
      <c r="A5" s="15" t="s">
        <v>34</v>
      </c>
      <c r="B5" t="str">
        <f ca="1">VLOOKUP($A$1,ROE!B:ZZ,2,FALSE)</f>
        <v>#N/A</v>
      </c>
      <c r="C5">
        <f ca="1">VLOOKUP($A$1,ROE!B:ZZ,3,FALSE)</f>
        <v>4.9381000000000004</v>
      </c>
      <c r="D5">
        <f ca="1">VLOOKUP($A$1,ROE!B:ZZ,4,FALSE)</f>
        <v>2.1659000000000002</v>
      </c>
      <c r="E5">
        <f ca="1">VLOOKUP($A$1,ROE!B:ZZ,5,FALSE)</f>
        <v>9.3370999999999995</v>
      </c>
      <c r="F5">
        <f ca="1">VLOOKUP($A$1,ROE!B:ZZ,6,FALSE)</f>
        <v>6.6993999999999998</v>
      </c>
      <c r="G5">
        <f ca="1">VLOOKUP($A$1,ROE!B:ZZ,7,FALSE)</f>
        <v>4.1711999999999998</v>
      </c>
      <c r="H5">
        <f ca="1">VLOOKUP($A$1,ROE!B:ZZ,8,FALSE)</f>
        <v>1.4234</v>
      </c>
      <c r="I5">
        <f ca="1">VLOOKUP($A$1,ROE!B:ZZ,9,FALSE)</f>
        <v>9.7802000000000007</v>
      </c>
      <c r="J5">
        <f ca="1">VLOOKUP($A$1,ROE!B:ZZ,10,FALSE)</f>
        <v>7.4813000000000001</v>
      </c>
      <c r="K5">
        <f ca="1">VLOOKUP($A$1,ROE!B:ZZ,11,FALSE)</f>
        <v>5.0372000000000003</v>
      </c>
      <c r="L5">
        <f ca="1">VLOOKUP($A$1,ROE!B:ZZ,12,FALSE)</f>
        <v>2.1924999999999999</v>
      </c>
      <c r="M5">
        <f ca="1">VLOOKUP($A$1,ROE!B:ZZ,13,FALSE)</f>
        <v>10.5595</v>
      </c>
      <c r="N5">
        <f ca="1">VLOOKUP($A$1,ROE!B:ZZ,14,FALSE)</f>
        <v>7.7434000000000003</v>
      </c>
      <c r="O5">
        <f ca="1">VLOOKUP($A$1,ROE!B:ZZ,15,FALSE)</f>
        <v>5.4081000000000001</v>
      </c>
      <c r="P5">
        <f ca="1">VLOOKUP($A$1,ROE!B:ZZ,16,FALSE)</f>
        <v>2.1621000000000001</v>
      </c>
      <c r="Q5">
        <f ca="1">VLOOKUP($A$1,ROE!B:ZZ,17,FALSE)</f>
        <v>11.428800000000001</v>
      </c>
      <c r="R5">
        <f ca="1">VLOOKUP($A$1,ROE!B:ZZ,18,FALSE)</f>
        <v>7.9024999999999999</v>
      </c>
      <c r="S5">
        <f ca="1">VLOOKUP($A$1,ROE!B:ZZ,19,FALSE)</f>
        <v>5.3228</v>
      </c>
      <c r="T5">
        <f ca="1">VLOOKUP($A$1,ROE!B:ZZ,20,FALSE)</f>
        <v>2.1019000000000001</v>
      </c>
      <c r="U5">
        <f ca="1">VLOOKUP($A$1,ROE!B:ZZ,21,FALSE)</f>
        <v>10.865600000000001</v>
      </c>
      <c r="V5">
        <f ca="1">VLOOKUP($A$1,ROE!B:ZZ,22,FALSE)</f>
        <v>8.0257000000000005</v>
      </c>
      <c r="W5">
        <f ca="1">VLOOKUP($A$1,ROE!B:ZZ,23,FALSE)</f>
        <v>5.2766999999999999</v>
      </c>
      <c r="X5">
        <f ca="1">VLOOKUP($A$1,ROE!B:ZZ,24,FALSE)</f>
        <v>2.1518000000000002</v>
      </c>
    </row>
    <row r="6" spans="1:24">
      <c r="A6" s="15" t="s">
        <v>74</v>
      </c>
      <c r="B6">
        <f ca="1">VLOOKUP($A$1,销售毛利率!B:ZZ,2,FALSE)</f>
        <v>10.5036</v>
      </c>
      <c r="C6">
        <f ca="1">VLOOKUP($A$1,销售毛利率!B:ZZ,3,FALSE)</f>
        <v>10.5036</v>
      </c>
      <c r="D6">
        <f ca="1">VLOOKUP($A$1,销售毛利率!B:ZZ,4,FALSE)</f>
        <v>9.9555000000000007</v>
      </c>
      <c r="E6">
        <f ca="1">VLOOKUP($A$1,销售毛利率!B:ZZ,5,FALSE)</f>
        <v>11.3926</v>
      </c>
      <c r="F6">
        <f ca="1">VLOOKUP($A$1,销售毛利率!B:ZZ,6,FALSE)</f>
        <v>10.9611</v>
      </c>
      <c r="G6">
        <f ca="1">VLOOKUP($A$1,销售毛利率!B:ZZ,7,FALSE)</f>
        <v>11.023899999999999</v>
      </c>
      <c r="H6">
        <f ca="1">VLOOKUP($A$1,销售毛利率!B:ZZ,8,FALSE)</f>
        <v>10.677</v>
      </c>
      <c r="I6">
        <f ca="1">VLOOKUP($A$1,销售毛利率!B:ZZ,9,FALSE)</f>
        <v>11.673299999999999</v>
      </c>
      <c r="J6">
        <f ca="1">VLOOKUP($A$1,销售毛利率!B:ZZ,10,FALSE)</f>
        <v>11.395300000000001</v>
      </c>
      <c r="K6">
        <f ca="1">VLOOKUP($A$1,销售毛利率!B:ZZ,11,FALSE)</f>
        <v>11.422800000000001</v>
      </c>
      <c r="L6">
        <f ca="1">VLOOKUP($A$1,销售毛利率!B:ZZ,12,FALSE)</f>
        <v>11.11</v>
      </c>
      <c r="M6">
        <f ca="1">VLOOKUP($A$1,销售毛利率!B:ZZ,13,FALSE)</f>
        <v>12.3651</v>
      </c>
      <c r="N6">
        <f ca="1">VLOOKUP($A$1,销售毛利率!B:ZZ,14,FALSE)</f>
        <v>11.7379</v>
      </c>
      <c r="O6">
        <f ca="1">VLOOKUP($A$1,销售毛利率!B:ZZ,15,FALSE)</f>
        <v>11.8035</v>
      </c>
      <c r="P6">
        <f ca="1">VLOOKUP($A$1,销售毛利率!B:ZZ,16,FALSE)</f>
        <v>11.0358</v>
      </c>
      <c r="Q6">
        <f ca="1">VLOOKUP($A$1,销售毛利率!B:ZZ,17,FALSE)</f>
        <v>11.742599999999999</v>
      </c>
      <c r="R6">
        <f ca="1">VLOOKUP($A$1,销售毛利率!B:ZZ,18,FALSE)</f>
        <v>11.050800000000001</v>
      </c>
      <c r="S6">
        <f ca="1">VLOOKUP($A$1,销售毛利率!B:ZZ,19,FALSE)</f>
        <v>11.29</v>
      </c>
      <c r="T6">
        <f ca="1">VLOOKUP($A$1,销售毛利率!B:ZZ,20,FALSE)</f>
        <v>10.5688</v>
      </c>
      <c r="U6">
        <f ca="1">VLOOKUP($A$1,销售毛利率!B:ZZ,21,FALSE)</f>
        <v>11.2323</v>
      </c>
      <c r="V6">
        <f ca="1">VLOOKUP($A$1,销售毛利率!B:ZZ,22,FALSE)</f>
        <v>10.754799999999999</v>
      </c>
      <c r="W6">
        <f ca="1">VLOOKUP($A$1,销售毛利率!B:ZZ,23,FALSE)</f>
        <v>11.077299999999999</v>
      </c>
      <c r="X6">
        <f ca="1">VLOOKUP($A$1,销售毛利率!B:ZZ,24,FALSE)</f>
        <v>11.629799999999999</v>
      </c>
    </row>
    <row r="7" spans="1:24">
      <c r="A7" s="15" t="s">
        <v>75</v>
      </c>
      <c r="B7">
        <f ca="1">VLOOKUP($A$1,销售净利率!B:ZZ,2,FALSE)</f>
        <v>3.4655</v>
      </c>
      <c r="C7">
        <f ca="1">VLOOKUP($A$1,销售净利率!B:ZZ,3,FALSE)</f>
        <v>3.4655</v>
      </c>
      <c r="D7">
        <f ca="1">VLOOKUP($A$1,销售净利率!B:ZZ,4,FALSE)</f>
        <v>3.1938</v>
      </c>
      <c r="E7">
        <f ca="1">VLOOKUP($A$1,销售净利率!B:ZZ,5,FALSE)</f>
        <v>3.3041999999999998</v>
      </c>
      <c r="F7">
        <f ca="1">VLOOKUP($A$1,销售净利率!B:ZZ,6,FALSE)</f>
        <v>3.3954</v>
      </c>
      <c r="G7">
        <f ca="1">VLOOKUP($A$1,销售净利率!B:ZZ,7,FALSE)</f>
        <v>3.4397000000000002</v>
      </c>
      <c r="H7">
        <f ca="1">VLOOKUP($A$1,销售净利率!B:ZZ,8,FALSE)</f>
        <v>2.87</v>
      </c>
      <c r="I7">
        <f ca="1">VLOOKUP($A$1,销售净利率!B:ZZ,9,FALSE)</f>
        <v>3.3813</v>
      </c>
      <c r="J7">
        <f ca="1">VLOOKUP($A$1,销售净利率!B:ZZ,10,FALSE)</f>
        <v>3.6573000000000002</v>
      </c>
      <c r="K7">
        <f ca="1">VLOOKUP($A$1,销售净利率!B:ZZ,11,FALSE)</f>
        <v>3.8123999999999998</v>
      </c>
      <c r="L7">
        <f ca="1">VLOOKUP($A$1,销售净利率!B:ZZ,12,FALSE)</f>
        <v>3.5587</v>
      </c>
      <c r="M7">
        <f ca="1">VLOOKUP($A$1,销售净利率!B:ZZ,13,FALSE)</f>
        <v>3.6048</v>
      </c>
      <c r="N7">
        <f ca="1">VLOOKUP($A$1,销售净利率!B:ZZ,14,FALSE)</f>
        <v>3.7582</v>
      </c>
      <c r="O7">
        <f ca="1">VLOOKUP($A$1,销售净利率!B:ZZ,15,FALSE)</f>
        <v>3.9668999999999999</v>
      </c>
      <c r="P7">
        <f ca="1">VLOOKUP($A$1,销售净利率!B:ZZ,16,FALSE)</f>
        <v>3.4298999999999999</v>
      </c>
      <c r="Q7">
        <f ca="1">VLOOKUP($A$1,销售净利率!B:ZZ,17,FALSE)</f>
        <v>3.6181999999999999</v>
      </c>
      <c r="R7">
        <f ca="1">VLOOKUP($A$1,销售净利率!B:ZZ,18,FALSE)</f>
        <v>3.6118999999999999</v>
      </c>
      <c r="S7">
        <f ca="1">VLOOKUP($A$1,销售净利率!B:ZZ,19,FALSE)</f>
        <v>3.7595999999999998</v>
      </c>
      <c r="T7">
        <f ca="1">VLOOKUP($A$1,销售净利率!B:ZZ,20,FALSE)</f>
        <v>3.3113999999999999</v>
      </c>
      <c r="U7">
        <f ca="1">VLOOKUP($A$1,销售净利率!B:ZZ,21,FALSE)</f>
        <v>3.3256999999999999</v>
      </c>
      <c r="V7">
        <f ca="1">VLOOKUP($A$1,销售净利率!B:ZZ,22,FALSE)</f>
        <v>3.5051999999999999</v>
      </c>
      <c r="W7">
        <f ca="1">VLOOKUP($A$1,销售净利率!B:ZZ,23,FALSE)</f>
        <v>3.4676999999999998</v>
      </c>
      <c r="X7">
        <f ca="1">VLOOKUP($A$1,销售净利率!B:ZZ,24,FALSE)</f>
        <v>3.0375000000000001</v>
      </c>
    </row>
    <row r="8" spans="1:24">
      <c r="A8" s="15" t="s">
        <v>33</v>
      </c>
      <c r="B8">
        <f ca="1">VLOOKUP($A$1,资产负债率!B:ZZ,2,FALSE)</f>
        <v>74.484099999999998</v>
      </c>
      <c r="C8">
        <f ca="1">VLOOKUP($A$1,资产负债率!B:ZZ,3,FALSE)</f>
        <v>74.484099999999998</v>
      </c>
      <c r="D8">
        <f ca="1">VLOOKUP($A$1,资产负债率!B:ZZ,4,FALSE)</f>
        <v>73.991100000000003</v>
      </c>
      <c r="E8">
        <f ca="1">VLOOKUP($A$1,资产负债率!B:ZZ,5,FALSE)</f>
        <v>73.828900000000004</v>
      </c>
      <c r="F8">
        <f ca="1">VLOOKUP($A$1,资产负债率!B:ZZ,6,FALSE)</f>
        <v>75.067499999999995</v>
      </c>
      <c r="G8">
        <f ca="1">VLOOKUP($A$1,资产负债率!B:ZZ,7,FALSE)</f>
        <v>75.262200000000007</v>
      </c>
      <c r="H8">
        <f ca="1">VLOOKUP($A$1,资产负债率!B:ZZ,8,FALSE)</f>
        <v>74.655299999999997</v>
      </c>
      <c r="I8">
        <f ca="1">VLOOKUP($A$1,资产负债率!B:ZZ,9,FALSE)</f>
        <v>74.768299999999996</v>
      </c>
      <c r="J8">
        <f ca="1">VLOOKUP($A$1,资产负债率!B:ZZ,10,FALSE)</f>
        <v>75.759600000000006</v>
      </c>
      <c r="K8">
        <f ca="1">VLOOKUP($A$1,资产负债率!B:ZZ,11,FALSE)</f>
        <v>75.862399999999994</v>
      </c>
      <c r="L8">
        <f ca="1">VLOOKUP($A$1,资产负债率!B:ZZ,12,FALSE)</f>
        <v>75.5244</v>
      </c>
      <c r="M8">
        <f ca="1">VLOOKUP($A$1,资产负债率!B:ZZ,13,FALSE)</f>
        <v>75.599800000000002</v>
      </c>
      <c r="N8">
        <f ca="1">VLOOKUP($A$1,资产负债率!B:ZZ,14,FALSE)</f>
        <v>76.567700000000002</v>
      </c>
      <c r="O8">
        <f ca="1">VLOOKUP($A$1,资产负债率!B:ZZ,15,FALSE)</f>
        <v>76.6173</v>
      </c>
      <c r="P8">
        <f ca="1">VLOOKUP($A$1,资产负债率!B:ZZ,16,FALSE)</f>
        <v>75.743899999999996</v>
      </c>
      <c r="Q8">
        <f ca="1">VLOOKUP($A$1,资产负债率!B:ZZ,17,FALSE)</f>
        <v>76.176699999999997</v>
      </c>
      <c r="R8">
        <f ca="1">VLOOKUP($A$1,资产负债率!B:ZZ,18,FALSE)</f>
        <v>76.980800000000002</v>
      </c>
      <c r="S8">
        <f ca="1">VLOOKUP($A$1,资产负债率!B:ZZ,19,FALSE)</f>
        <v>77.070499999999996</v>
      </c>
      <c r="T8">
        <f ca="1">VLOOKUP($A$1,资产负债率!B:ZZ,20,FALSE)</f>
        <v>76.588899999999995</v>
      </c>
      <c r="U8">
        <f ca="1">VLOOKUP($A$1,资产负债率!B:ZZ,21,FALSE)</f>
        <v>77.344800000000006</v>
      </c>
      <c r="V8">
        <f ca="1">VLOOKUP($A$1,资产负债率!B:ZZ,22,FALSE)</f>
        <v>77.445999999999998</v>
      </c>
      <c r="W8">
        <f ca="1">VLOOKUP($A$1,资产负债率!B:ZZ,23,FALSE)</f>
        <v>77.555099999999996</v>
      </c>
      <c r="X8">
        <f ca="1">VLOOKUP($A$1,资产负债率!B:ZZ,24,FALSE)</f>
        <v>77.222999999999999</v>
      </c>
    </row>
    <row r="9" spans="1:24">
      <c r="A9" s="15" t="s">
        <v>30</v>
      </c>
      <c r="B9">
        <f ca="1">VLOOKUP($A$1,总资产周转率!B:ZZ,2,FALSE)</f>
        <v>0.33610000000000001</v>
      </c>
      <c r="C9">
        <f ca="1">VLOOKUP($A$1,总资产周转率!B:ZZ,3,FALSE)</f>
        <v>0.33610000000000001</v>
      </c>
      <c r="D9">
        <f ca="1">VLOOKUP($A$1,总资产周转率!B:ZZ,4,FALSE)</f>
        <v>0.15329999999999999</v>
      </c>
      <c r="E9">
        <f ca="1">VLOOKUP($A$1,总资产周转率!B:ZZ,5,FALSE)</f>
        <v>0.67779999999999996</v>
      </c>
      <c r="F9">
        <f ca="1">VLOOKUP($A$1,总资产周转率!B:ZZ,6,FALSE)</f>
        <v>0.46010000000000001</v>
      </c>
      <c r="G9">
        <f ca="1">VLOOKUP($A$1,总资产周转率!B:ZZ,7,FALSE)</f>
        <v>0.29289999999999999</v>
      </c>
      <c r="H9">
        <f ca="1">VLOOKUP($A$1,总资产周转率!B:ZZ,8,FALSE)</f>
        <v>0.1128</v>
      </c>
      <c r="I9">
        <f ca="1">VLOOKUP($A$1,总资产周转率!B:ZZ,9,FALSE)</f>
        <v>0.67879999999999996</v>
      </c>
      <c r="J9">
        <f ca="1">VLOOKUP($A$1,总资产周转率!B:ZZ,10,FALSE)</f>
        <v>0.46779999999999999</v>
      </c>
      <c r="K9">
        <f ca="1">VLOOKUP($A$1,总资产周转率!B:ZZ,11,FALSE)</f>
        <v>0.31080000000000002</v>
      </c>
      <c r="L9">
        <f ca="1">VLOOKUP($A$1,总资产周转率!B:ZZ,12,FALSE)</f>
        <v>0.1384</v>
      </c>
      <c r="M9">
        <f ca="1">VLOOKUP($A$1,总资产周转率!B:ZZ,13,FALSE)</f>
        <v>0.66610000000000003</v>
      </c>
      <c r="N9">
        <f ca="1">VLOOKUP($A$1,总资产周转率!B:ZZ,14,FALSE)</f>
        <v>0.45750000000000002</v>
      </c>
      <c r="O9">
        <f ca="1">VLOOKUP($A$1,总资产周转率!B:ZZ,15,FALSE)</f>
        <v>0.30649999999999999</v>
      </c>
      <c r="P9">
        <f ca="1">VLOOKUP($A$1,总资产周转率!B:ZZ,16,FALSE)</f>
        <v>0.14180000000000001</v>
      </c>
      <c r="Q9">
        <f ca="1">VLOOKUP($A$1,总资产周转率!B:ZZ,17,FALSE)</f>
        <v>0.6845</v>
      </c>
      <c r="R9">
        <f ca="1">VLOOKUP($A$1,总资产周转率!B:ZZ,18,FALSE)</f>
        <v>0.47239999999999999</v>
      </c>
      <c r="S9">
        <f ca="1">VLOOKUP($A$1,总资产周转率!B:ZZ,19,FALSE)</f>
        <v>0.31109999999999999</v>
      </c>
      <c r="T9">
        <f ca="1">VLOOKUP($A$1,总资产周转率!B:ZZ,20,FALSE)</f>
        <v>0.1386</v>
      </c>
      <c r="U9">
        <f ca="1">VLOOKUP($A$1,总资产周转率!B:ZZ,21,FALSE)</f>
        <v>0.7077</v>
      </c>
      <c r="V9">
        <f ca="1">VLOOKUP($A$1,总资产周转率!B:ZZ,22,FALSE)</f>
        <v>0.48830000000000001</v>
      </c>
      <c r="W9">
        <f ca="1">VLOOKUP($A$1,总资产周转率!B:ZZ,23,FALSE)</f>
        <v>0.32979999999999998</v>
      </c>
      <c r="X9">
        <f ca="1">VLOOKUP($A$1,总资产周转率!B:ZZ,24,FALSE)</f>
        <v>0.1525</v>
      </c>
    </row>
    <row r="10" spans="1:24" s="19" customFormat="1">
      <c r="A10" s="18" t="s">
        <v>76</v>
      </c>
      <c r="B10" s="17">
        <f ca="1">VLOOKUP($A$1,营业周期倒数!B:ZZ,2,FALSE)</f>
        <v>1.6620378911398424E-2</v>
      </c>
      <c r="C10" s="17">
        <f ca="1">VLOOKUP($A$1,营业周期倒数!B:ZZ,3,FALSE)</f>
        <v>1.6620378911398424E-2</v>
      </c>
      <c r="D10" s="17">
        <f ca="1">VLOOKUP($A$1,营业周期倒数!B:ZZ,4,FALSE)</f>
        <v>1.567479195632376E-2</v>
      </c>
      <c r="E10" s="17">
        <f ca="1">VLOOKUP($A$1,营业周期倒数!B:ZZ,5,FALSE)</f>
        <v>1.6325491111586363E-2</v>
      </c>
      <c r="F10" s="17">
        <f ca="1">VLOOKUP($A$1,营业周期倒数!B:ZZ,6,FALSE)</f>
        <v>1.5231874830545394E-2</v>
      </c>
      <c r="G10" s="17">
        <f ca="1">VLOOKUP($A$1,营业周期倒数!B:ZZ,7,FALSE)</f>
        <v>1.4484692576884749E-2</v>
      </c>
      <c r="H10" s="17">
        <f ca="1">VLOOKUP($A$1,营业周期倒数!B:ZZ,8,FALSE)</f>
        <v>1.1274008000036076E-2</v>
      </c>
      <c r="I10" s="17">
        <f ca="1">VLOOKUP($A$1,营业周期倒数!B:ZZ,9,FALSE)</f>
        <v>1.5876720441118802E-2</v>
      </c>
      <c r="J10" s="17">
        <f ca="1">VLOOKUP($A$1,营业周期倒数!B:ZZ,10,FALSE)</f>
        <v>1.4365318673046783E-2</v>
      </c>
      <c r="K10" s="17">
        <f ca="1">VLOOKUP($A$1,营业周期倒数!B:ZZ,11,FALSE)</f>
        <v>1.4407602603741944E-2</v>
      </c>
      <c r="L10" s="17">
        <f ca="1">VLOOKUP($A$1,营业周期倒数!B:ZZ,12,FALSE)</f>
        <v>1.2853536522038673E-2</v>
      </c>
      <c r="M10" s="17">
        <f ca="1">VLOOKUP($A$1,营业周期倒数!B:ZZ,13,FALSE)</f>
        <v>1.4628330688043534E-2</v>
      </c>
      <c r="N10" s="17">
        <f ca="1">VLOOKUP($A$1,营业周期倒数!B:ZZ,14,FALSE)</f>
        <v>1.239831829210686E-2</v>
      </c>
      <c r="O10" s="17">
        <f ca="1">VLOOKUP($A$1,营业周期倒数!B:ZZ,15,FALSE)</f>
        <v>1.2439311708004573E-2</v>
      </c>
      <c r="P10" s="17">
        <f ca="1">VLOOKUP($A$1,营业周期倒数!B:ZZ,16,FALSE)</f>
        <v>1.1527430674031926E-2</v>
      </c>
      <c r="Q10" s="17">
        <f ca="1">VLOOKUP($A$1,营业周期倒数!B:ZZ,17,FALSE)</f>
        <v>1.3244436674374929E-2</v>
      </c>
      <c r="R10" s="17">
        <f ca="1">VLOOKUP($A$1,营业周期倒数!B:ZZ,18,FALSE)</f>
        <v>1.1907937354723164E-2</v>
      </c>
      <c r="S10" s="17">
        <f ca="1">VLOOKUP($A$1,营业周期倒数!B:ZZ,19,FALSE)</f>
        <v>1.1707257680253718E-2</v>
      </c>
      <c r="T10" s="17">
        <f ca="1">VLOOKUP($A$1,营业周期倒数!B:ZZ,20,FALSE)</f>
        <v>1.061367189531523E-2</v>
      </c>
      <c r="U10" s="17">
        <f ca="1">VLOOKUP($A$1,营业周期倒数!B:ZZ,21,FALSE)</f>
        <v>1.3525576865853329E-2</v>
      </c>
      <c r="V10" s="17">
        <f ca="1">VLOOKUP($A$1,营业周期倒数!B:ZZ,22,FALSE)</f>
        <v>1.2006300906715846E-2</v>
      </c>
      <c r="W10" s="17">
        <f ca="1">VLOOKUP($A$1,营业周期倒数!B:ZZ,23,FALSE)</f>
        <v>1.1906037551642438E-2</v>
      </c>
      <c r="X10" s="17">
        <f ca="1">VLOOKUP($A$1,营业周期倒数!B:ZZ,24,FALSE)</f>
        <v>1.1391921988118225E-2</v>
      </c>
    </row>
    <row r="11" spans="1:24" s="9" customFormat="1">
      <c r="A11" s="16" t="s">
        <v>44</v>
      </c>
      <c r="B11" s="11">
        <f ca="1">[1]!TDays("2016-01-01",TODAY(),"Days=Alldays","Period=Q","Direction=H","Order=D","cols=23;rows=1")</f>
        <v>44440</v>
      </c>
      <c r="C11" s="11">
        <v>44377</v>
      </c>
      <c r="D11" s="11">
        <v>44286</v>
      </c>
      <c r="E11" s="11">
        <v>44196</v>
      </c>
      <c r="F11" s="11">
        <v>44104</v>
      </c>
      <c r="G11" s="11">
        <v>44012</v>
      </c>
      <c r="H11" s="11">
        <v>43921</v>
      </c>
      <c r="I11" s="11">
        <v>43830</v>
      </c>
      <c r="J11" s="11">
        <v>43738</v>
      </c>
      <c r="K11" s="11">
        <v>43646</v>
      </c>
      <c r="L11" s="11">
        <v>43555</v>
      </c>
      <c r="M11" s="11">
        <v>43465</v>
      </c>
      <c r="N11" s="11">
        <v>43373</v>
      </c>
      <c r="O11" s="11">
        <v>43281</v>
      </c>
      <c r="P11" s="11">
        <v>43190</v>
      </c>
      <c r="Q11" s="11">
        <v>43100</v>
      </c>
      <c r="R11" s="11">
        <v>43008</v>
      </c>
      <c r="S11" s="11">
        <v>42916</v>
      </c>
      <c r="T11" s="11">
        <v>42825</v>
      </c>
      <c r="U11" s="11">
        <v>42735</v>
      </c>
      <c r="V11" s="11">
        <v>42643</v>
      </c>
      <c r="W11" s="11">
        <v>42551</v>
      </c>
      <c r="X11" s="11">
        <v>42460</v>
      </c>
    </row>
    <row r="12" spans="1:24">
      <c r="A12" s="15" t="s">
        <v>31</v>
      </c>
    </row>
    <row r="13" spans="1:24">
      <c r="A13" s="15" t="s">
        <v>32</v>
      </c>
    </row>
    <row r="14" spans="1:24">
      <c r="A14" s="15" t="s">
        <v>73</v>
      </c>
    </row>
    <row r="15" spans="1:24">
      <c r="A15" s="15" t="s">
        <v>34</v>
      </c>
    </row>
    <row r="16" spans="1:24">
      <c r="A16" s="15" t="s">
        <v>74</v>
      </c>
    </row>
    <row r="17" spans="1:1">
      <c r="A17" s="15" t="s">
        <v>75</v>
      </c>
    </row>
    <row r="18" spans="1:1">
      <c r="A18" s="15" t="s">
        <v>33</v>
      </c>
    </row>
    <row r="19" spans="1:1">
      <c r="A19" s="15" t="s">
        <v>30</v>
      </c>
    </row>
    <row r="20" spans="1:1">
      <c r="A20" s="18" t="s">
        <v>76</v>
      </c>
    </row>
  </sheetData>
  <phoneticPr fontId="2" type="noConversion"/>
  <conditionalFormatting sqref="B12:B1048576">
    <cfRule type="colorScale" priority="7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12:C1048576">
    <cfRule type="colorScale" priority="7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12:D1048576">
    <cfRule type="colorScale" priority="7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12:E1048576">
    <cfRule type="colorScale" priority="7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2:F1048576">
    <cfRule type="colorScale" priority="6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12:G1048576">
    <cfRule type="colorScale" priority="6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12:H1048576">
    <cfRule type="colorScale" priority="6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12:I1048576">
    <cfRule type="colorScale" priority="6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12:J1048576">
    <cfRule type="colorScale" priority="6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12:K1048576">
    <cfRule type="colorScale" priority="6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L12:L1048576">
    <cfRule type="colorScale" priority="6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12:M1048576">
    <cfRule type="colorScale" priority="6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12:N1048576">
    <cfRule type="colorScale" priority="6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O12:O1048576">
    <cfRule type="colorScale" priority="6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P12:P1048576">
    <cfRule type="colorScale" priority="5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Q12:Q1048576">
    <cfRule type="colorScale" priority="5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12:R1048576">
    <cfRule type="colorScale" priority="5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S12:S1048576">
    <cfRule type="colorScale" priority="5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T12:T1048576">
    <cfRule type="colorScale" priority="5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U12:U1048576">
    <cfRule type="colorScale" priority="5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V12:V1048576">
    <cfRule type="colorScale" priority="5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12:W1048576">
    <cfRule type="colorScale" priority="5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12:X1048576">
    <cfRule type="colorScale" priority="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12:B1048576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12:C1048576">
    <cfRule type="colorScale" priority="4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12:D1048576">
    <cfRule type="colorScale" priority="3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12:E1048576">
    <cfRule type="colorScale" priority="3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2:F1048576">
    <cfRule type="colorScale" priority="3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12:G1048576">
    <cfRule type="colorScale" priority="3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12:H1048576">
    <cfRule type="colorScale" priority="3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12:I1048576">
    <cfRule type="colorScale" priority="3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12:J1048576">
    <cfRule type="colorScale" priority="3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12:K1048576">
    <cfRule type="colorScale" priority="3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L12:L1048576">
    <cfRule type="colorScale" priority="3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12:M1048576">
    <cfRule type="colorScale" priority="3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12:N1048576">
    <cfRule type="colorScale" priority="2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O12:O1048576">
    <cfRule type="colorScale" priority="2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P12:P1048576">
    <cfRule type="colorScale" priority="2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Q12:Q1048576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12:R1048576">
    <cfRule type="colorScale" priority="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S12:S1048576">
    <cfRule type="colorScale" priority="2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T12:T1048576">
    <cfRule type="colorScale" priority="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U12:U1048576">
    <cfRule type="colorScale" priority="2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V12:V1048576">
    <cfRule type="colorScale" priority="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12:W1048576">
    <cfRule type="colorScale" priority="2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X12:X1048576">
    <cfRule type="colorScale" priority="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2:XFD2">
    <cfRule type="colorScale" priority="1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3:XFD3">
    <cfRule type="colorScale" priority="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4:XFD4">
    <cfRule type="colorScale" priority="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5:XFD5">
    <cfRule type="colorScale" priority="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6:XFD6">
    <cfRule type="colorScale" priority="1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7:XFD7">
    <cfRule type="colorScale" priority="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8:XFD8">
    <cfRule type="colorScale" priority="1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9:XFD9">
    <cfRule type="colorScale" priority="1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0:XFD10">
    <cfRule type="colorScale" priority="1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2">
    <cfRule type="colorScale" priority="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3">
    <cfRule type="colorScale" priority="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4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5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6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7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8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19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20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2" location="营收同比!A1" display="营收同比" xr:uid="{5E92BECE-D22A-D94F-B209-EA54D22E56CA}"/>
    <hyperlink ref="A3" location="归母净利润同比!A1" display="归母净利润同比" xr:uid="{5C956E6D-C6DD-974C-B883-D9254CE8686E}"/>
    <hyperlink ref="A4" location="ROA!A1" display="ROA" xr:uid="{9F3C8509-77C0-EE4B-949D-9A6CC8434409}"/>
    <hyperlink ref="A5" location="ROE!A1" display="ROE" xr:uid="{3098D900-F81C-D145-AD9E-6A96F4FC4A43}"/>
    <hyperlink ref="A6" location="销售毛利率!A1" display="销售毛利率" xr:uid="{5602E863-65E5-5E4F-B143-B176B6F17746}"/>
    <hyperlink ref="A7" location="销售净利率!A1" display="销售净利率" xr:uid="{347CE1DF-05F3-D64B-9062-7F171309E4B9}"/>
    <hyperlink ref="A8" location="资产负债率!A1" display="资产负债率" xr:uid="{7451B58E-8596-0C4C-ABE6-0C4CF41DF37E}"/>
    <hyperlink ref="A9" location="总资产周转率!A1" display="总资产周转率" xr:uid="{6E65BA6F-5880-6446-8C48-BEAA4B74AC5C}"/>
    <hyperlink ref="A10" location="营业周期!A1" display="营业周期" xr:uid="{2B70064C-1EDA-204E-9917-933E52231F07}"/>
    <hyperlink ref="A12" location="营收同比!A1" display="营收同比" xr:uid="{05E38B86-D320-3945-BB1C-8ECED8283CB7}"/>
    <hyperlink ref="A13" location="归母净利润同比!A1" display="归母净利润同比" xr:uid="{885CBBBE-DE52-1240-AF86-59C6CBB5FC03}"/>
    <hyperlink ref="A14" location="ROA!A1" display="ROA" xr:uid="{EF53CC71-A496-D64C-ADC2-7013A66F2E72}"/>
    <hyperlink ref="A15" location="ROE!A1" display="ROE" xr:uid="{2149C7E2-FE96-6240-AAF6-3B76FE1B13BC}"/>
    <hyperlink ref="A16" location="销售毛利率!A1" display="销售毛利率" xr:uid="{1346AD6B-BCFE-8445-9EE0-E48D2385620E}"/>
    <hyperlink ref="A17" location="销售净利率!A1" display="销售净利率" xr:uid="{C38B8CE2-F96F-C545-9815-D590BFCE6724}"/>
    <hyperlink ref="A18" location="资产负债率!A1" display="资产负债率" xr:uid="{147B930B-98E4-3C40-95E5-1D032A5FEE3B}"/>
    <hyperlink ref="A19" location="总资产周转率!A1" display="总资产周转率" xr:uid="{34898D7B-7CE5-6F41-AD6C-60FAB76BCADA}"/>
    <hyperlink ref="A20" location="营业周期!A1" display="营业周期" xr:uid="{BC996F3B-1A46-6D4D-9A43-A064733B8B67}"/>
  </hyperlink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EE4D682-1F94-7247-A29A-31B963CA057A}">
          <x14:formula1>
            <xm:f>各行业截面对比!$A$2:$A$31</xm:f>
          </x14:formula1>
          <xm:sqref>A1 A11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672C2-0E7A-4E43-9E80-7B2D4CA588BF}">
  <sheetPr codeName="Sheet2"/>
  <dimension ref="A1:Y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12" sqref="E12"/>
    </sheetView>
  </sheetViews>
  <sheetFormatPr baseColWidth="10" defaultRowHeight="16"/>
  <cols>
    <col min="1" max="2" width="10.83203125" style="9"/>
    <col min="3" max="25" width="13.33203125" bestFit="1" customWidth="1"/>
  </cols>
  <sheetData>
    <row r="1" spans="1:25" s="28" customFormat="1">
      <c r="A1" s="44" t="s">
        <v>31</v>
      </c>
      <c r="B1" s="25">
        <f ca="1">TODAY()</f>
        <v>44440</v>
      </c>
      <c r="C1" s="45">
        <f ca="1">[1]!TDays("2016-01-01",B1,"Days=Alldays","Period=Q","Direction=H","Order=D","cols=23;rows=1")</f>
        <v>44440</v>
      </c>
      <c r="D1" s="46">
        <v>44377</v>
      </c>
      <c r="E1" s="46">
        <v>44286</v>
      </c>
      <c r="F1" s="46">
        <v>44196</v>
      </c>
      <c r="G1" s="46">
        <v>44104</v>
      </c>
      <c r="H1" s="46">
        <v>44012</v>
      </c>
      <c r="I1" s="46">
        <v>43921</v>
      </c>
      <c r="J1" s="46">
        <v>43830</v>
      </c>
      <c r="K1" s="46">
        <v>43738</v>
      </c>
      <c r="L1" s="46">
        <v>43646</v>
      </c>
      <c r="M1" s="46">
        <v>43555</v>
      </c>
      <c r="N1" s="46">
        <v>43465</v>
      </c>
      <c r="O1" s="46">
        <v>43373</v>
      </c>
      <c r="P1" s="46">
        <v>43281</v>
      </c>
      <c r="Q1" s="46">
        <v>43190</v>
      </c>
      <c r="R1" s="46">
        <v>43100</v>
      </c>
      <c r="S1" s="46">
        <v>43008</v>
      </c>
      <c r="T1" s="46">
        <v>42916</v>
      </c>
      <c r="U1" s="46">
        <v>42825</v>
      </c>
      <c r="V1" s="46">
        <v>42735</v>
      </c>
      <c r="W1" s="46">
        <v>42643</v>
      </c>
      <c r="X1" s="46">
        <v>42551</v>
      </c>
      <c r="Y1" s="46">
        <v>42460</v>
      </c>
    </row>
    <row r="2" spans="1:25">
      <c r="A2" s="8" t="s">
        <v>0</v>
      </c>
      <c r="B2" s="8" t="s">
        <v>43</v>
      </c>
      <c r="C2" s="3" t="str">
        <f ca="1">[1]!s_fa_yoy_or($A2,C$1)</f>
        <v>#N/A</v>
      </c>
      <c r="D2" s="3">
        <f>[1]!s_fa_yoy_or($A2,D$1)</f>
        <v>27.225200000000001</v>
      </c>
      <c r="E2" s="3">
        <f>[1]!s_fa_yoy_or($A2,E$1)</f>
        <v>11.459199999999999</v>
      </c>
      <c r="F2" s="3">
        <f>[1]!s_fa_yoy_or($A2,F$1)</f>
        <v>-22.378599999999999</v>
      </c>
      <c r="G2" s="3">
        <f>[1]!s_fa_yoy_or($A2,G$1)</f>
        <v>-23.1751</v>
      </c>
      <c r="H2" s="3">
        <f>[1]!s_fa_yoy_or($A2,H$1)</f>
        <v>-23.975300000000001</v>
      </c>
      <c r="I2" s="3">
        <f>[1]!s_fa_yoy_or($A2,I$1)</f>
        <v>-17.239599999999999</v>
      </c>
      <c r="J2" s="3">
        <f>[1]!s_fa_yoy_or($A2,J$1)</f>
        <v>4.5046999999999997</v>
      </c>
      <c r="K2" s="3">
        <f>[1]!s_fa_yoy_or($A2,K$1)</f>
        <v>6.3788</v>
      </c>
      <c r="L2" s="3">
        <f>[1]!s_fa_yoy_or($A2,L$1)</f>
        <v>11.413500000000001</v>
      </c>
      <c r="M2" s="3">
        <f>[1]!s_fa_yoy_or($A2,M$1)</f>
        <v>13.0167</v>
      </c>
      <c r="N2" s="3">
        <f>[1]!s_fa_yoy_or($A2,N$1)</f>
        <v>20.333100000000002</v>
      </c>
      <c r="O2" s="3">
        <f>[1]!s_fa_yoy_or($A2,O$1)</f>
        <v>18.892800000000001</v>
      </c>
      <c r="P2" s="3">
        <f>[1]!s_fa_yoy_or($A2,P$1)</f>
        <v>13.5665</v>
      </c>
      <c r="Q2" s="3">
        <f>[1]!s_fa_yoy_or($A2,Q$1)</f>
        <v>9.9419000000000004</v>
      </c>
      <c r="R2" s="3">
        <f>[1]!s_fa_yoy_or($A2,R$1)</f>
        <v>24.6937</v>
      </c>
      <c r="S2" s="3">
        <f>[1]!s_fa_yoy_or($A2,S$1)</f>
        <v>28.712499999999999</v>
      </c>
      <c r="T2" s="3">
        <f>[1]!s_fa_yoy_or($A2,T$1)</f>
        <v>32.873199999999997</v>
      </c>
      <c r="U2" s="3">
        <f>[1]!s_fa_yoy_or($A2,U$1)</f>
        <v>40.476199999999999</v>
      </c>
      <c r="V2" s="3">
        <f>[1]!s_fa_yoy_or($A2,V$1)</f>
        <v>-4.7298999999999998</v>
      </c>
      <c r="W2" s="3">
        <f>[1]!s_fa_yoy_or($A2,W$1)</f>
        <v>-10.618399999999999</v>
      </c>
      <c r="X2" s="3">
        <f>[1]!s_fa_yoy_or($A2,X$1)</f>
        <v>-14.725199999999999</v>
      </c>
      <c r="Y2" s="3">
        <f>[1]!s_fa_yoy_or($A2,Y$1)</f>
        <v>-13.017200000000001</v>
      </c>
    </row>
    <row r="3" spans="1:25">
      <c r="A3" s="8" t="s">
        <v>1</v>
      </c>
      <c r="B3" s="8" t="s">
        <v>44</v>
      </c>
      <c r="C3" s="3" t="str">
        <f ca="1">[1]!s_fa_yoy_or($A3,C$1)</f>
        <v>#N/A</v>
      </c>
      <c r="D3" s="3">
        <f>[1]!s_fa_yoy_or($A3,D$1)</f>
        <v>22.456</v>
      </c>
      <c r="E3" s="3">
        <f>[1]!s_fa_yoy_or($A3,E$1)</f>
        <v>25.303899999999999</v>
      </c>
      <c r="F3" s="3">
        <f>[1]!s_fa_yoy_or($A3,F$1)</f>
        <v>-0.1797</v>
      </c>
      <c r="G3" s="3">
        <f>[1]!s_fa_yoy_or($A3,G$1)</f>
        <v>-2.0619000000000001</v>
      </c>
      <c r="H3" s="3">
        <f>[1]!s_fa_yoy_or($A3,H$1)</f>
        <v>-4.4797000000000002</v>
      </c>
      <c r="I3" s="3">
        <f>[1]!s_fa_yoy_or($A3,I$1)</f>
        <v>-7.7388000000000003</v>
      </c>
      <c r="J3" s="3">
        <f>[1]!s_fa_yoy_or($A3,J$1)</f>
        <v>5.6605999999999996</v>
      </c>
      <c r="K3" s="3">
        <f>[1]!s_fa_yoy_or($A3,K$1)</f>
        <v>5.9256000000000002</v>
      </c>
      <c r="L3" s="3">
        <f>[1]!s_fa_yoy_or($A3,L$1)</f>
        <v>8.8684999999999992</v>
      </c>
      <c r="M3" s="3">
        <f>[1]!s_fa_yoy_or($A3,M$1)</f>
        <v>8.9290000000000003</v>
      </c>
      <c r="N3" s="3">
        <f>[1]!s_fa_yoy_or($A3,N$1)</f>
        <v>9.5116999999999994</v>
      </c>
      <c r="O3" s="3">
        <f>[1]!s_fa_yoy_or($A3,O$1)</f>
        <v>6.5385999999999997</v>
      </c>
      <c r="P3" s="3">
        <f>[1]!s_fa_yoy_or($A3,P$1)</f>
        <v>5.6763000000000003</v>
      </c>
      <c r="Q3" s="3">
        <f>[1]!s_fa_yoy_or($A3,Q$1)</f>
        <v>3.0141</v>
      </c>
      <c r="R3" s="3">
        <f>[1]!s_fa_yoy_or($A3,R$1)</f>
        <v>36.822499999999998</v>
      </c>
      <c r="S3" s="3">
        <f>[1]!s_fa_yoy_or($A3,S$1)</f>
        <v>57.093800000000002</v>
      </c>
      <c r="T3" s="3">
        <f>[1]!s_fa_yoy_or($A3,T$1)</f>
        <v>75.673500000000004</v>
      </c>
      <c r="U3" s="3">
        <f>[1]!s_fa_yoy_or($A3,U$1)</f>
        <v>81.562700000000007</v>
      </c>
      <c r="V3" s="3">
        <f>[1]!s_fa_yoy_or($A3,V$1)</f>
        <v>10.975899999999999</v>
      </c>
      <c r="W3" s="3">
        <f>[1]!s_fa_yoy_or($A3,W$1)</f>
        <v>-2.3195999999999999</v>
      </c>
      <c r="X3" s="3">
        <f>[1]!s_fa_yoy_or($A3,X$1)</f>
        <v>-15.207700000000001</v>
      </c>
      <c r="Y3" s="3">
        <f>[1]!s_fa_yoy_or($A3,Y$1)</f>
        <v>-12.1998</v>
      </c>
    </row>
    <row r="4" spans="1:25">
      <c r="A4" s="8" t="s">
        <v>2</v>
      </c>
      <c r="B4" s="8" t="s">
        <v>45</v>
      </c>
      <c r="C4" s="3" t="str">
        <f ca="1">[1]!s_fa_yoy_or($A4,C$1)</f>
        <v>#N/A</v>
      </c>
      <c r="D4" s="3">
        <f>[1]!s_fa_yoy_or($A4,D$1)</f>
        <v>41.335599999999999</v>
      </c>
      <c r="E4" s="3">
        <f>[1]!s_fa_yoy_or($A4,E$1)</f>
        <v>47.101300000000002</v>
      </c>
      <c r="F4" s="3">
        <f>[1]!s_fa_yoy_or($A4,F$1)</f>
        <v>14.839</v>
      </c>
      <c r="G4" s="3">
        <f>[1]!s_fa_yoy_or($A4,G$1)</f>
        <v>12.957000000000001</v>
      </c>
      <c r="H4" s="3">
        <f>[1]!s_fa_yoy_or($A4,H$1)</f>
        <v>12.658799999999999</v>
      </c>
      <c r="I4" s="3">
        <f>[1]!s_fa_yoy_or($A4,I$1)</f>
        <v>7.8771000000000004</v>
      </c>
      <c r="J4" s="3">
        <f>[1]!s_fa_yoy_or($A4,J$1)</f>
        <v>11.4747</v>
      </c>
      <c r="K4" s="3">
        <f>[1]!s_fa_yoy_or($A4,K$1)</f>
        <v>11.1806</v>
      </c>
      <c r="L4" s="3">
        <f>[1]!s_fa_yoy_or($A4,L$1)</f>
        <v>7.6374000000000004</v>
      </c>
      <c r="M4" s="3">
        <f>[1]!s_fa_yoy_or($A4,M$1)</f>
        <v>6.3775000000000004</v>
      </c>
      <c r="N4" s="3">
        <f>[1]!s_fa_yoy_or($A4,N$1)</f>
        <v>7.7531999999999996</v>
      </c>
      <c r="O4" s="3">
        <f>[1]!s_fa_yoy_or($A4,O$1)</f>
        <v>5.3987999999999996</v>
      </c>
      <c r="P4" s="3">
        <f>[1]!s_fa_yoy_or($A4,P$1)</f>
        <v>8.5670999999999999</v>
      </c>
      <c r="Q4" s="3">
        <f>[1]!s_fa_yoy_or($A4,Q$1)</f>
        <v>13.285500000000001</v>
      </c>
      <c r="R4" s="3">
        <f>[1]!s_fa_yoy_or($A4,R$1)</f>
        <v>15.400499999999999</v>
      </c>
      <c r="S4" s="3">
        <f>[1]!s_fa_yoy_or($A4,S$1)</f>
        <v>22.9815</v>
      </c>
      <c r="T4" s="3">
        <f>[1]!s_fa_yoy_or($A4,T$1)</f>
        <v>26.4453</v>
      </c>
      <c r="U4" s="3">
        <f>[1]!s_fa_yoy_or($A4,U$1)</f>
        <v>33.466299999999997</v>
      </c>
      <c r="V4" s="3">
        <f>[1]!s_fa_yoy_or($A4,V$1)</f>
        <v>6.9446000000000003</v>
      </c>
      <c r="W4" s="3">
        <f>[1]!s_fa_yoy_or($A4,W$1)</f>
        <v>0.69230000000000003</v>
      </c>
      <c r="X4" s="3">
        <f>[1]!s_fa_yoy_or($A4,X$1)</f>
        <v>-3.0463</v>
      </c>
      <c r="Y4" s="3">
        <f>[1]!s_fa_yoy_or($A4,Y$1)</f>
        <v>-2.9182000000000001</v>
      </c>
    </row>
    <row r="5" spans="1:25">
      <c r="A5" s="8" t="s">
        <v>3</v>
      </c>
      <c r="B5" s="8" t="s">
        <v>46</v>
      </c>
      <c r="C5" s="3" t="str">
        <f ca="1">[1]!s_fa_yoy_or($A5,C$1)</f>
        <v>#N/A</v>
      </c>
      <c r="D5" s="3">
        <f>[1]!s_fa_yoy_or($A5,D$1)</f>
        <v>19.777000000000001</v>
      </c>
      <c r="E5" s="3">
        <f>[1]!s_fa_yoy_or($A5,E$1)</f>
        <v>26.043500000000002</v>
      </c>
      <c r="F5" s="3">
        <f>[1]!s_fa_yoy_or($A5,F$1)</f>
        <v>0.32950000000000002</v>
      </c>
      <c r="G5" s="3">
        <f>[1]!s_fa_yoy_or($A5,G$1)</f>
        <v>-2.0185</v>
      </c>
      <c r="H5" s="3">
        <f>[1]!s_fa_yoy_or($A5,H$1)</f>
        <v>-4.8066000000000004</v>
      </c>
      <c r="I5" s="3">
        <f>[1]!s_fa_yoy_or($A5,I$1)</f>
        <v>-11.713900000000001</v>
      </c>
      <c r="J5" s="3">
        <f>[1]!s_fa_yoy_or($A5,J$1)</f>
        <v>8.4466000000000001</v>
      </c>
      <c r="K5" s="3">
        <f>[1]!s_fa_yoy_or($A5,K$1)</f>
        <v>8.7208000000000006</v>
      </c>
      <c r="L5" s="3">
        <f>[1]!s_fa_yoy_or($A5,L$1)</f>
        <v>8.1254000000000008</v>
      </c>
      <c r="M5" s="3">
        <f>[1]!s_fa_yoy_or($A5,M$1)</f>
        <v>9.1478999999999999</v>
      </c>
      <c r="N5" s="3">
        <f>[1]!s_fa_yoy_or($A5,N$1)</f>
        <v>11.4612</v>
      </c>
      <c r="O5" s="3">
        <f>[1]!s_fa_yoy_or($A5,O$1)</f>
        <v>12.301600000000001</v>
      </c>
      <c r="P5" s="3">
        <f>[1]!s_fa_yoy_or($A5,P$1)</f>
        <v>15.3063</v>
      </c>
      <c r="Q5" s="3">
        <f>[1]!s_fa_yoy_or($A5,Q$1)</f>
        <v>17.107800000000001</v>
      </c>
      <c r="R5" s="3">
        <f>[1]!s_fa_yoy_or($A5,R$1)</f>
        <v>14.738300000000001</v>
      </c>
      <c r="S5" s="3">
        <f>[1]!s_fa_yoy_or($A5,S$1)</f>
        <v>14.852</v>
      </c>
      <c r="T5" s="3">
        <f>[1]!s_fa_yoy_or($A5,T$1)</f>
        <v>12.6554</v>
      </c>
      <c r="U5" s="3">
        <f>[1]!s_fa_yoy_or($A5,U$1)</f>
        <v>12.853</v>
      </c>
      <c r="V5" s="3">
        <f>[1]!s_fa_yoy_or($A5,V$1)</f>
        <v>-1.0769</v>
      </c>
      <c r="W5" s="3">
        <f>[1]!s_fa_yoy_or($A5,W$1)</f>
        <v>-3.1932</v>
      </c>
      <c r="X5" s="3">
        <f>[1]!s_fa_yoy_or($A5,X$1)</f>
        <v>-5.9059999999999997</v>
      </c>
      <c r="Y5" s="3">
        <f>[1]!s_fa_yoy_or($A5,Y$1)</f>
        <v>-7.2454999999999998</v>
      </c>
    </row>
    <row r="6" spans="1:25">
      <c r="A6" s="8" t="s">
        <v>4</v>
      </c>
      <c r="B6" s="8" t="s">
        <v>47</v>
      </c>
      <c r="C6" s="3" t="str">
        <f ca="1">[1]!s_fa_yoy_or($A6,C$1)</f>
        <v>#N/A</v>
      </c>
      <c r="D6" s="3">
        <f>[1]!s_fa_yoy_or($A6,D$1)</f>
        <v>55.805700000000002</v>
      </c>
      <c r="E6" s="3">
        <f>[1]!s_fa_yoy_or($A6,E$1)</f>
        <v>52.514200000000002</v>
      </c>
      <c r="F6" s="3">
        <f>[1]!s_fa_yoy_or($A6,F$1)</f>
        <v>4.2313000000000001</v>
      </c>
      <c r="G6" s="3">
        <f>[1]!s_fa_yoy_or($A6,G$1)</f>
        <v>-1.3687</v>
      </c>
      <c r="H6" s="3">
        <f>[1]!s_fa_yoy_or($A6,H$1)</f>
        <v>-2.355</v>
      </c>
      <c r="I6" s="3">
        <f>[1]!s_fa_yoy_or($A6,I$1)</f>
        <v>-5.9333999999999998</v>
      </c>
      <c r="J6" s="3">
        <f>[1]!s_fa_yoy_or($A6,J$1)</f>
        <v>2.3174999999999999</v>
      </c>
      <c r="K6" s="3">
        <f>[1]!s_fa_yoy_or($A6,K$1)</f>
        <v>1.9121999999999999</v>
      </c>
      <c r="L6" s="3">
        <f>[1]!s_fa_yoy_or($A6,L$1)</f>
        <v>2.5400999999999998</v>
      </c>
      <c r="M6" s="3">
        <f>[1]!s_fa_yoy_or($A6,M$1)</f>
        <v>4.4954999999999998</v>
      </c>
      <c r="N6" s="3">
        <f>[1]!s_fa_yoy_or($A6,N$1)</f>
        <v>12.742000000000001</v>
      </c>
      <c r="O6" s="3">
        <f>[1]!s_fa_yoy_or($A6,O$1)</f>
        <v>13.4948</v>
      </c>
      <c r="P6" s="3">
        <f>[1]!s_fa_yoy_or($A6,P$1)</f>
        <v>13.4215</v>
      </c>
      <c r="Q6" s="3">
        <f>[1]!s_fa_yoy_or($A6,Q$1)</f>
        <v>6.0842000000000001</v>
      </c>
      <c r="R6" s="3">
        <f>[1]!s_fa_yoy_or($A6,R$1)</f>
        <v>32.988</v>
      </c>
      <c r="S6" s="3">
        <f>[1]!s_fa_yoy_or($A6,S$1)</f>
        <v>40.418599999999998</v>
      </c>
      <c r="T6" s="3">
        <f>[1]!s_fa_yoy_or($A6,T$1)</f>
        <v>45.423699999999997</v>
      </c>
      <c r="U6" s="3">
        <f>[1]!s_fa_yoy_or($A6,U$1)</f>
        <v>59.17</v>
      </c>
      <c r="V6" s="3">
        <f>[1]!s_fa_yoy_or($A6,V$1)</f>
        <v>3.7945000000000002</v>
      </c>
      <c r="W6" s="3">
        <f>[1]!s_fa_yoy_or($A6,W$1)</f>
        <v>-4.3952999999999998</v>
      </c>
      <c r="X6" s="3">
        <f>[1]!s_fa_yoy_or($A6,X$1)</f>
        <v>-13.036300000000001</v>
      </c>
      <c r="Y6" s="3">
        <f>[1]!s_fa_yoy_or($A6,Y$1)</f>
        <v>-23.445799999999998</v>
      </c>
    </row>
    <row r="7" spans="1:25">
      <c r="A7" s="8" t="s">
        <v>5</v>
      </c>
      <c r="B7" s="8" t="s">
        <v>48</v>
      </c>
      <c r="C7" s="3" t="str">
        <f ca="1">[1]!s_fa_yoy_or($A7,C$1)</f>
        <v>#N/A</v>
      </c>
      <c r="D7" s="3">
        <f>[1]!s_fa_yoy_or($A7,D$1)</f>
        <v>33.064500000000002</v>
      </c>
      <c r="E7" s="3">
        <f>[1]!s_fa_yoy_or($A7,E$1)</f>
        <v>41.480499999999999</v>
      </c>
      <c r="F7" s="3">
        <f>[1]!s_fa_yoy_or($A7,F$1)</f>
        <v>0.83099999999999996</v>
      </c>
      <c r="G7" s="3">
        <f>[1]!s_fa_yoy_or($A7,G$1)</f>
        <v>-3.6985000000000001</v>
      </c>
      <c r="H7" s="3">
        <f>[1]!s_fa_yoy_or($A7,H$1)</f>
        <v>-5.5492999999999997</v>
      </c>
      <c r="I7" s="3">
        <f>[1]!s_fa_yoy_or($A7,I$1)</f>
        <v>-13.6204</v>
      </c>
      <c r="J7" s="3">
        <f>[1]!s_fa_yoy_or($A7,J$1)</f>
        <v>0.30609999999999998</v>
      </c>
      <c r="K7" s="3">
        <f>[1]!s_fa_yoy_or($A7,K$1)</f>
        <v>0.33200000000000002</v>
      </c>
      <c r="L7" s="3">
        <f>[1]!s_fa_yoy_or($A7,L$1)</f>
        <v>-0.61380000000000001</v>
      </c>
      <c r="M7" s="3">
        <f>[1]!s_fa_yoy_or($A7,M$1)</f>
        <v>2.7786</v>
      </c>
      <c r="N7" s="3">
        <f>[1]!s_fa_yoy_or($A7,N$1)</f>
        <v>10.064299999999999</v>
      </c>
      <c r="O7" s="3">
        <f>[1]!s_fa_yoy_or($A7,O$1)</f>
        <v>12.670400000000001</v>
      </c>
      <c r="P7" s="3">
        <f>[1]!s_fa_yoy_or($A7,P$1)</f>
        <v>13.628299999999999</v>
      </c>
      <c r="Q7" s="3">
        <f>[1]!s_fa_yoy_or($A7,Q$1)</f>
        <v>8.0382999999999996</v>
      </c>
      <c r="R7" s="3">
        <f>[1]!s_fa_yoy_or($A7,R$1)</f>
        <v>29.0427</v>
      </c>
      <c r="S7" s="3">
        <f>[1]!s_fa_yoy_or($A7,S$1)</f>
        <v>38.218899999999998</v>
      </c>
      <c r="T7" s="3">
        <f>[1]!s_fa_yoy_or($A7,T$1)</f>
        <v>44.560699999999997</v>
      </c>
      <c r="U7" s="3">
        <f>[1]!s_fa_yoy_or($A7,U$1)</f>
        <v>56.652200000000001</v>
      </c>
      <c r="V7" s="3">
        <f>[1]!s_fa_yoy_or($A7,V$1)</f>
        <v>11.988300000000001</v>
      </c>
      <c r="W7" s="3">
        <f>[1]!s_fa_yoy_or($A7,W$1)</f>
        <v>3.8925999999999998</v>
      </c>
      <c r="X7" s="3">
        <f>[1]!s_fa_yoy_or($A7,X$1)</f>
        <v>1.9521999999999999</v>
      </c>
      <c r="Y7" s="3">
        <f>[1]!s_fa_yoy_or($A7,Y$1)</f>
        <v>-2.5922999999999998</v>
      </c>
    </row>
    <row r="8" spans="1:25">
      <c r="A8" s="8" t="s">
        <v>6</v>
      </c>
      <c r="B8" s="8" t="s">
        <v>49</v>
      </c>
      <c r="C8" s="3" t="str">
        <f ca="1">[1]!s_fa_yoy_or($A8,C$1)</f>
        <v>#N/A</v>
      </c>
      <c r="D8" s="3">
        <f>[1]!s_fa_yoy_or($A8,D$1)</f>
        <v>29.851900000000001</v>
      </c>
      <c r="E8" s="3">
        <f>[1]!s_fa_yoy_or($A8,E$1)</f>
        <v>54.606499999999997</v>
      </c>
      <c r="F8" s="3">
        <f>[1]!s_fa_yoy_or($A8,F$1)</f>
        <v>12.2563</v>
      </c>
      <c r="G8" s="3">
        <f>[1]!s_fa_yoy_or($A8,G$1)</f>
        <v>11.398999999999999</v>
      </c>
      <c r="H8" s="3">
        <f>[1]!s_fa_yoy_or($A8,H$1)</f>
        <v>5.9047999999999998</v>
      </c>
      <c r="I8" s="3">
        <f>[1]!s_fa_yoy_or($A8,I$1)</f>
        <v>-8.8664000000000005</v>
      </c>
      <c r="J8" s="3">
        <f>[1]!s_fa_yoy_or($A8,J$1)</f>
        <v>15.6973</v>
      </c>
      <c r="K8" s="3">
        <f>[1]!s_fa_yoy_or($A8,K$1)</f>
        <v>16.015499999999999</v>
      </c>
      <c r="L8" s="3">
        <f>[1]!s_fa_yoy_or($A8,L$1)</f>
        <v>15.8187</v>
      </c>
      <c r="M8" s="3">
        <f>[1]!s_fa_yoy_or($A8,M$1)</f>
        <v>13.401400000000001</v>
      </c>
      <c r="N8" s="3">
        <f>[1]!s_fa_yoy_or($A8,N$1)</f>
        <v>10.4306</v>
      </c>
      <c r="O8" s="3">
        <f>[1]!s_fa_yoy_or($A8,O$1)</f>
        <v>9.2373999999999992</v>
      </c>
      <c r="P8" s="3">
        <f>[1]!s_fa_yoy_or($A8,P$1)</f>
        <v>10.963100000000001</v>
      </c>
      <c r="Q8" s="3">
        <f>[1]!s_fa_yoy_or($A8,Q$1)</f>
        <v>13.785</v>
      </c>
      <c r="R8" s="3">
        <f>[1]!s_fa_yoy_or($A8,R$1)</f>
        <v>8.9693000000000005</v>
      </c>
      <c r="S8" s="3">
        <f>[1]!s_fa_yoy_or($A8,S$1)</f>
        <v>9.4916999999999998</v>
      </c>
      <c r="T8" s="3">
        <f>[1]!s_fa_yoy_or($A8,T$1)</f>
        <v>8.6462000000000003</v>
      </c>
      <c r="U8" s="3">
        <f>[1]!s_fa_yoy_or($A8,U$1)</f>
        <v>4.3594999999999997</v>
      </c>
      <c r="V8" s="3">
        <f>[1]!s_fa_yoy_or($A8,V$1)</f>
        <v>5.7910000000000004</v>
      </c>
      <c r="W8" s="3">
        <f>[1]!s_fa_yoy_or($A8,W$1)</f>
        <v>4.9459999999999997</v>
      </c>
      <c r="X8" s="3">
        <f>[1]!s_fa_yoy_or($A8,X$1)</f>
        <v>4.7991000000000001</v>
      </c>
      <c r="Y8" s="3">
        <f>[1]!s_fa_yoy_or($A8,Y$1)</f>
        <v>4.1821999999999999</v>
      </c>
    </row>
    <row r="9" spans="1:25">
      <c r="A9" s="8" t="s">
        <v>7</v>
      </c>
      <c r="B9" s="8" t="s">
        <v>50</v>
      </c>
      <c r="C9" s="3" t="str">
        <f ca="1">[1]!s_fa_yoy_or($A9,C$1)</f>
        <v>#N/A</v>
      </c>
      <c r="D9" s="3">
        <f>[1]!s_fa_yoy_or($A9,D$1)</f>
        <v>25.294499999999999</v>
      </c>
      <c r="E9" s="3">
        <f>[1]!s_fa_yoy_or($A9,E$1)</f>
        <v>59.800699999999999</v>
      </c>
      <c r="F9" s="3">
        <f>[1]!s_fa_yoy_or($A9,F$1)</f>
        <v>7.7667000000000002</v>
      </c>
      <c r="G9" s="3">
        <f>[1]!s_fa_yoy_or($A9,G$1)</f>
        <v>5.0717999999999996</v>
      </c>
      <c r="H9" s="3">
        <f>[1]!s_fa_yoy_or($A9,H$1)</f>
        <v>-1.6801999999999999</v>
      </c>
      <c r="I9" s="3">
        <f>[1]!s_fa_yoy_or($A9,I$1)</f>
        <v>-24.2865</v>
      </c>
      <c r="J9" s="3">
        <f>[1]!s_fa_yoy_or($A9,J$1)</f>
        <v>13.0665</v>
      </c>
      <c r="K9" s="3">
        <f>[1]!s_fa_yoy_or($A9,K$1)</f>
        <v>15.946</v>
      </c>
      <c r="L9" s="3">
        <f>[1]!s_fa_yoy_or($A9,L$1)</f>
        <v>18.711200000000002</v>
      </c>
      <c r="M9" s="3">
        <f>[1]!s_fa_yoy_or($A9,M$1)</f>
        <v>21.253</v>
      </c>
      <c r="N9" s="3">
        <f>[1]!s_fa_yoy_or($A9,N$1)</f>
        <v>28.3568</v>
      </c>
      <c r="O9" s="3">
        <f>[1]!s_fa_yoy_or($A9,O$1)</f>
        <v>27.338200000000001</v>
      </c>
      <c r="P9" s="3">
        <f>[1]!s_fa_yoy_or($A9,P$1)</f>
        <v>30.1736</v>
      </c>
      <c r="Q9" s="3">
        <f>[1]!s_fa_yoy_or($A9,Q$1)</f>
        <v>34.202300000000001</v>
      </c>
      <c r="R9" s="3">
        <f>[1]!s_fa_yoy_or($A9,R$1)</f>
        <v>37.5246</v>
      </c>
      <c r="S9" s="3">
        <f>[1]!s_fa_yoy_or($A9,S$1)</f>
        <v>35.970199999999998</v>
      </c>
      <c r="T9" s="3">
        <f>[1]!s_fa_yoy_or($A9,T$1)</f>
        <v>34.2258</v>
      </c>
      <c r="U9" s="3">
        <f>[1]!s_fa_yoy_or($A9,U$1)</f>
        <v>32.045299999999997</v>
      </c>
      <c r="V9" s="3">
        <f>[1]!s_fa_yoy_or($A9,V$1)</f>
        <v>10.057399999999999</v>
      </c>
      <c r="W9" s="3">
        <f>[1]!s_fa_yoy_or($A9,W$1)</f>
        <v>3.0316999999999998</v>
      </c>
      <c r="X9" s="3">
        <f>[1]!s_fa_yoy_or($A9,X$1)</f>
        <v>1.1943999999999999</v>
      </c>
      <c r="Y9" s="3">
        <f>[1]!s_fa_yoy_or($A9,Y$1)</f>
        <v>-0.99150000000000005</v>
      </c>
    </row>
    <row r="10" spans="1:25">
      <c r="A10" s="8" t="s">
        <v>8</v>
      </c>
      <c r="B10" s="8" t="s">
        <v>51</v>
      </c>
      <c r="C10" s="3" t="str">
        <f ca="1">[1]!s_fa_yoy_or($A10,C$1)</f>
        <v>#N/A</v>
      </c>
      <c r="D10" s="3">
        <f>[1]!s_fa_yoy_or($A10,D$1)</f>
        <v>40.658999999999999</v>
      </c>
      <c r="E10" s="3">
        <f>[1]!s_fa_yoy_or($A10,E$1)</f>
        <v>58.377499999999998</v>
      </c>
      <c r="F10" s="3">
        <f>[1]!s_fa_yoy_or($A10,F$1)</f>
        <v>7.2058</v>
      </c>
      <c r="G10" s="3">
        <f>[1]!s_fa_yoy_or($A10,G$1)</f>
        <v>4.0266000000000002</v>
      </c>
      <c r="H10" s="3">
        <f>[1]!s_fa_yoy_or($A10,H$1)</f>
        <v>-1.4964999999999999</v>
      </c>
      <c r="I10" s="3">
        <f>[1]!s_fa_yoy_or($A10,I$1)</f>
        <v>-12.459300000000001</v>
      </c>
      <c r="J10" s="3">
        <f>[1]!s_fa_yoy_or($A10,J$1)</f>
        <v>7.5140000000000002</v>
      </c>
      <c r="K10" s="3">
        <f>[1]!s_fa_yoy_or($A10,K$1)</f>
        <v>5.3101000000000003</v>
      </c>
      <c r="L10" s="3">
        <f>[1]!s_fa_yoy_or($A10,L$1)</f>
        <v>2.6775000000000002</v>
      </c>
      <c r="M10" s="3">
        <f>[1]!s_fa_yoy_or($A10,M$1)</f>
        <v>5.8368000000000002</v>
      </c>
      <c r="N10" s="3">
        <f>[1]!s_fa_yoy_or($A10,N$1)</f>
        <v>15.8407</v>
      </c>
      <c r="O10" s="3">
        <f>[1]!s_fa_yoy_or($A10,O$1)</f>
        <v>19.349499999999999</v>
      </c>
      <c r="P10" s="3">
        <f>[1]!s_fa_yoy_or($A10,P$1)</f>
        <v>22.675699999999999</v>
      </c>
      <c r="Q10" s="3">
        <f>[1]!s_fa_yoy_or($A10,Q$1)</f>
        <v>21.057400000000001</v>
      </c>
      <c r="R10" s="3">
        <f>[1]!s_fa_yoy_or($A10,R$1)</f>
        <v>23.858899999999998</v>
      </c>
      <c r="S10" s="3">
        <f>[1]!s_fa_yoy_or($A10,S$1)</f>
        <v>25.478400000000001</v>
      </c>
      <c r="T10" s="3">
        <f>[1]!s_fa_yoy_or($A10,T$1)</f>
        <v>23.6967</v>
      </c>
      <c r="U10" s="3">
        <f>[1]!s_fa_yoy_or($A10,U$1)</f>
        <v>22.346599999999999</v>
      </c>
      <c r="V10" s="3">
        <f>[1]!s_fa_yoy_or($A10,V$1)</f>
        <v>15.2948</v>
      </c>
      <c r="W10" s="3">
        <f>[1]!s_fa_yoy_or($A10,W$1)</f>
        <v>11.016</v>
      </c>
      <c r="X10" s="3">
        <f>[1]!s_fa_yoy_or($A10,X$1)</f>
        <v>8.5594999999999999</v>
      </c>
      <c r="Y10" s="3">
        <f>[1]!s_fa_yoy_or($A10,Y$1)</f>
        <v>7.1853999999999996</v>
      </c>
    </row>
    <row r="11" spans="1:25">
      <c r="A11" s="8" t="s">
        <v>9</v>
      </c>
      <c r="B11" s="8" t="s">
        <v>52</v>
      </c>
      <c r="C11" s="3" t="str">
        <f ca="1">[1]!s_fa_yoy_or($A11,C$1)</f>
        <v>#N/A</v>
      </c>
      <c r="D11" s="3">
        <f>[1]!s_fa_yoy_or($A11,D$1)</f>
        <v>33.629600000000003</v>
      </c>
      <c r="E11" s="3">
        <f>[1]!s_fa_yoy_or($A11,E$1)</f>
        <v>52.231200000000001</v>
      </c>
      <c r="F11" s="3">
        <f>[1]!s_fa_yoy_or($A11,F$1)</f>
        <v>9.6222999999999992</v>
      </c>
      <c r="G11" s="3">
        <f>[1]!s_fa_yoy_or($A11,G$1)</f>
        <v>6.8010999999999999</v>
      </c>
      <c r="H11" s="3">
        <f>[1]!s_fa_yoy_or($A11,H$1)</f>
        <v>1.5884</v>
      </c>
      <c r="I11" s="3">
        <f>[1]!s_fa_yoy_or($A11,I$1)</f>
        <v>-13.0997</v>
      </c>
      <c r="J11" s="3">
        <f>[1]!s_fa_yoy_or($A11,J$1)</f>
        <v>7.9745999999999997</v>
      </c>
      <c r="K11" s="3">
        <f>[1]!s_fa_yoy_or($A11,K$1)</f>
        <v>8.5389999999999997</v>
      </c>
      <c r="L11" s="3">
        <f>[1]!s_fa_yoy_or($A11,L$1)</f>
        <v>8.0698000000000008</v>
      </c>
      <c r="M11" s="3">
        <f>[1]!s_fa_yoy_or($A11,M$1)</f>
        <v>15.549799999999999</v>
      </c>
      <c r="N11" s="3">
        <f>[1]!s_fa_yoy_or($A11,N$1)</f>
        <v>14.968400000000001</v>
      </c>
      <c r="O11" s="3">
        <f>[1]!s_fa_yoy_or($A11,O$1)</f>
        <v>16.501300000000001</v>
      </c>
      <c r="P11" s="3">
        <f>[1]!s_fa_yoy_or($A11,P$1)</f>
        <v>20.5412</v>
      </c>
      <c r="Q11" s="3">
        <f>[1]!s_fa_yoy_or($A11,Q$1)</f>
        <v>20.3141</v>
      </c>
      <c r="R11" s="3">
        <f>[1]!s_fa_yoy_or($A11,R$1)</f>
        <v>22.549399999999999</v>
      </c>
      <c r="S11" s="3">
        <f>[1]!s_fa_yoy_or($A11,S$1)</f>
        <v>25.012899999999998</v>
      </c>
      <c r="T11" s="3">
        <f>[1]!s_fa_yoy_or($A11,T$1)</f>
        <v>22.066700000000001</v>
      </c>
      <c r="U11" s="3">
        <f>[1]!s_fa_yoy_or($A11,U$1)</f>
        <v>18.015599999999999</v>
      </c>
      <c r="V11" s="3">
        <f>[1]!s_fa_yoy_or($A11,V$1)</f>
        <v>2.5716999999999999</v>
      </c>
      <c r="W11" s="3">
        <f>[1]!s_fa_yoy_or($A11,W$1)</f>
        <v>-2.5123000000000002</v>
      </c>
      <c r="X11" s="3">
        <f>[1]!s_fa_yoy_or($A11,X$1)</f>
        <v>-4.3507999999999996</v>
      </c>
      <c r="Y11" s="3">
        <f>[1]!s_fa_yoy_or($A11,Y$1)</f>
        <v>-4.79</v>
      </c>
    </row>
    <row r="12" spans="1:25">
      <c r="A12" s="8" t="s">
        <v>10</v>
      </c>
      <c r="B12" s="8" t="s">
        <v>53</v>
      </c>
      <c r="C12" s="3" t="str">
        <f ca="1">[1]!s_fa_yoy_or($A12,C$1)</f>
        <v>#N/A</v>
      </c>
      <c r="D12" s="3">
        <f>[1]!s_fa_yoy_or($A12,D$1)</f>
        <v>34.480499999999999</v>
      </c>
      <c r="E12" s="3">
        <f>[1]!s_fa_yoy_or($A12,E$1)</f>
        <v>52.064799999999998</v>
      </c>
      <c r="F12" s="3">
        <f>[1]!s_fa_yoy_or($A12,F$1)</f>
        <v>12.101900000000001</v>
      </c>
      <c r="G12" s="3">
        <f>[1]!s_fa_yoy_or($A12,G$1)</f>
        <v>13.451599999999999</v>
      </c>
      <c r="H12" s="3">
        <f>[1]!s_fa_yoy_or($A12,H$1)</f>
        <v>7.0556000000000001</v>
      </c>
      <c r="I12" s="3">
        <f>[1]!s_fa_yoy_or($A12,I$1)</f>
        <v>-11.6457</v>
      </c>
      <c r="J12" s="3">
        <f>[1]!s_fa_yoy_or($A12,J$1)</f>
        <v>12.014900000000001</v>
      </c>
      <c r="K12" s="3">
        <f>[1]!s_fa_yoy_or($A12,K$1)</f>
        <v>8.0518999999999998</v>
      </c>
      <c r="L12" s="3">
        <f>[1]!s_fa_yoy_or($A12,L$1)</f>
        <v>5.7286000000000001</v>
      </c>
      <c r="M12" s="3">
        <f>[1]!s_fa_yoy_or($A12,M$1)</f>
        <v>13.3939</v>
      </c>
      <c r="N12" s="3">
        <f>[1]!s_fa_yoy_or($A12,N$1)</f>
        <v>10.6892</v>
      </c>
      <c r="O12" s="3">
        <f>[1]!s_fa_yoy_or($A12,O$1)</f>
        <v>11.2447</v>
      </c>
      <c r="P12" s="3">
        <f>[1]!s_fa_yoy_or($A12,P$1)</f>
        <v>14.9049</v>
      </c>
      <c r="Q12" s="3">
        <f>[1]!s_fa_yoy_or($A12,Q$1)</f>
        <v>17.4206</v>
      </c>
      <c r="R12" s="3">
        <f>[1]!s_fa_yoy_or($A12,R$1)</f>
        <v>8.9873999999999992</v>
      </c>
      <c r="S12" s="3">
        <f>[1]!s_fa_yoy_or($A12,S$1)</f>
        <v>11.5844</v>
      </c>
      <c r="T12" s="3">
        <f>[1]!s_fa_yoy_or($A12,T$1)</f>
        <v>7.4009</v>
      </c>
      <c r="U12" s="3">
        <f>[1]!s_fa_yoy_or($A12,U$1)</f>
        <v>-2.4714</v>
      </c>
      <c r="V12" s="3">
        <f>[1]!s_fa_yoy_or($A12,V$1)</f>
        <v>10.7088</v>
      </c>
      <c r="W12" s="3">
        <f>[1]!s_fa_yoy_or($A12,W$1)</f>
        <v>11.586499999999999</v>
      </c>
      <c r="X12" s="3">
        <f>[1]!s_fa_yoy_or($A12,X$1)</f>
        <v>15.974500000000001</v>
      </c>
      <c r="Y12" s="3">
        <f>[1]!s_fa_yoy_or($A12,Y$1)</f>
        <v>19.537199999999999</v>
      </c>
    </row>
    <row r="13" spans="1:25">
      <c r="A13" s="8" t="s">
        <v>11</v>
      </c>
      <c r="B13" s="8" t="s">
        <v>54</v>
      </c>
      <c r="C13" s="3" t="str">
        <f ca="1">[1]!s_fa_yoy_or($A13,C$1)</f>
        <v>#N/A</v>
      </c>
      <c r="D13" s="3">
        <f>[1]!s_fa_yoy_or($A13,D$1)</f>
        <v>19.6586</v>
      </c>
      <c r="E13" s="3">
        <f>[1]!s_fa_yoy_or($A13,E$1)</f>
        <v>29.0382</v>
      </c>
      <c r="F13" s="3">
        <f>[1]!s_fa_yoy_or($A13,F$1)</f>
        <v>2.3384</v>
      </c>
      <c r="G13" s="3">
        <f>[1]!s_fa_yoy_or($A13,G$1)</f>
        <v>4.2061999999999999</v>
      </c>
      <c r="H13" s="3">
        <f>[1]!s_fa_yoy_or($A13,H$1)</f>
        <v>-2.0242</v>
      </c>
      <c r="I13" s="3">
        <f>[1]!s_fa_yoy_or($A13,I$1)</f>
        <v>-7.9368999999999996</v>
      </c>
      <c r="J13" s="3">
        <f>[1]!s_fa_yoy_or($A13,J$1)</f>
        <v>2.8814000000000002</v>
      </c>
      <c r="K13" s="3">
        <f>[1]!s_fa_yoy_or($A13,K$1)</f>
        <v>2.5602</v>
      </c>
      <c r="L13" s="3">
        <f>[1]!s_fa_yoy_or($A13,L$1)</f>
        <v>5.8628999999999998</v>
      </c>
      <c r="M13" s="3">
        <f>[1]!s_fa_yoy_or($A13,M$1)</f>
        <v>11.4308</v>
      </c>
      <c r="N13" s="3">
        <f>[1]!s_fa_yoy_or($A13,N$1)</f>
        <v>6.7992999999999997</v>
      </c>
      <c r="O13" s="3">
        <f>[1]!s_fa_yoy_or($A13,O$1)</f>
        <v>12.154999999999999</v>
      </c>
      <c r="P13" s="3">
        <f>[1]!s_fa_yoy_or($A13,P$1)</f>
        <v>11.0397</v>
      </c>
      <c r="Q13" s="3">
        <f>[1]!s_fa_yoy_or($A13,Q$1)</f>
        <v>-1.0032000000000001</v>
      </c>
      <c r="R13" s="3">
        <f>[1]!s_fa_yoy_or($A13,R$1)</f>
        <v>-1.1135999999999999</v>
      </c>
      <c r="S13" s="3">
        <f>[1]!s_fa_yoy_or($A13,S$1)</f>
        <v>-1.9376</v>
      </c>
      <c r="T13" s="3">
        <f>[1]!s_fa_yoy_or($A13,T$1)</f>
        <v>-1.6116999999999999</v>
      </c>
      <c r="U13" s="3">
        <f>[1]!s_fa_yoy_or($A13,U$1)</f>
        <v>3.1556999999999999</v>
      </c>
      <c r="V13" s="3">
        <f>[1]!s_fa_yoy_or($A13,V$1)</f>
        <v>2.8986000000000001</v>
      </c>
      <c r="W13" s="3">
        <f>[1]!s_fa_yoy_or($A13,W$1)</f>
        <v>1.5093000000000001</v>
      </c>
      <c r="X13" s="3">
        <f>[1]!s_fa_yoy_or($A13,X$1)</f>
        <v>1.6008</v>
      </c>
      <c r="Y13" s="3">
        <f>[1]!s_fa_yoy_or($A13,Y$1)</f>
        <v>12.665100000000001</v>
      </c>
    </row>
    <row r="14" spans="1:25">
      <c r="A14" s="8" t="s">
        <v>12</v>
      </c>
      <c r="B14" s="8" t="s">
        <v>55</v>
      </c>
      <c r="C14" s="3" t="str">
        <f ca="1">[1]!s_fa_yoy_or($A14,C$1)</f>
        <v>#N/A</v>
      </c>
      <c r="D14" s="3">
        <f>[1]!s_fa_yoy_or($A14,D$1)</f>
        <v>32.778199999999998</v>
      </c>
      <c r="E14" s="3">
        <f>[1]!s_fa_yoy_or($A14,E$1)</f>
        <v>71.267399999999995</v>
      </c>
      <c r="F14" s="3">
        <f>[1]!s_fa_yoy_or($A14,F$1)</f>
        <v>-1.9508000000000001</v>
      </c>
      <c r="G14" s="3">
        <f>[1]!s_fa_yoy_or($A14,G$1)</f>
        <v>-3.9354</v>
      </c>
      <c r="H14" s="3">
        <f>[1]!s_fa_yoy_or($A14,H$1)</f>
        <v>-12.9826</v>
      </c>
      <c r="I14" s="3">
        <f>[1]!s_fa_yoy_or($A14,I$1)</f>
        <v>-33.314500000000002</v>
      </c>
      <c r="J14" s="3">
        <f>[1]!s_fa_yoy_or($A14,J$1)</f>
        <v>-3.2038000000000002</v>
      </c>
      <c r="K14" s="3">
        <f>[1]!s_fa_yoy_or($A14,K$1)</f>
        <v>-7.3174000000000001</v>
      </c>
      <c r="L14" s="3">
        <f>[1]!s_fa_yoy_or($A14,L$1)</f>
        <v>-10.057499999999999</v>
      </c>
      <c r="M14" s="3">
        <f>[1]!s_fa_yoy_or($A14,M$1)</f>
        <v>-7.8426</v>
      </c>
      <c r="N14" s="3">
        <f>[1]!s_fa_yoy_or($A14,N$1)</f>
        <v>1.8334999999999999</v>
      </c>
      <c r="O14" s="3">
        <f>[1]!s_fa_yoy_or($A14,O$1)</f>
        <v>6.7710999999999997</v>
      </c>
      <c r="P14" s="3">
        <f>[1]!s_fa_yoy_or($A14,P$1)</f>
        <v>11.6805</v>
      </c>
      <c r="Q14" s="3">
        <f>[1]!s_fa_yoy_or($A14,Q$1)</f>
        <v>13.230600000000001</v>
      </c>
      <c r="R14" s="3">
        <f>[1]!s_fa_yoy_or($A14,R$1)</f>
        <v>17.262599999999999</v>
      </c>
      <c r="S14" s="3">
        <f>[1]!s_fa_yoy_or($A14,S$1)</f>
        <v>18.863</v>
      </c>
      <c r="T14" s="3">
        <f>[1]!s_fa_yoy_or($A14,T$1)</f>
        <v>18.513300000000001</v>
      </c>
      <c r="U14" s="3">
        <f>[1]!s_fa_yoy_or($A14,U$1)</f>
        <v>16.894600000000001</v>
      </c>
      <c r="V14" s="3">
        <f>[1]!s_fa_yoy_or($A14,V$1)</f>
        <v>15.560700000000001</v>
      </c>
      <c r="W14" s="3">
        <f>[1]!s_fa_yoy_or($A14,W$1)</f>
        <v>14.1976</v>
      </c>
      <c r="X14" s="3">
        <f>[1]!s_fa_yoy_or($A14,X$1)</f>
        <v>10.548500000000001</v>
      </c>
      <c r="Y14" s="3">
        <f>[1]!s_fa_yoy_or($A14,Y$1)</f>
        <v>8.5667000000000009</v>
      </c>
    </row>
    <row r="15" spans="1:25">
      <c r="A15" s="8" t="s">
        <v>13</v>
      </c>
      <c r="B15" s="8" t="s">
        <v>56</v>
      </c>
      <c r="C15" s="3" t="str">
        <f ca="1">[1]!s_fa_yoy_or($A15,C$1)</f>
        <v>#N/A</v>
      </c>
      <c r="D15" s="3">
        <f>[1]!s_fa_yoy_or($A15,D$1)</f>
        <v>28.4056</v>
      </c>
      <c r="E15" s="3">
        <f>[1]!s_fa_yoy_or($A15,E$1)</f>
        <v>29.5351</v>
      </c>
      <c r="F15" s="3">
        <f>[1]!s_fa_yoy_or($A15,F$1)</f>
        <v>-3.8744000000000001</v>
      </c>
      <c r="G15" s="3">
        <f>[1]!s_fa_yoy_or($A15,G$1)</f>
        <v>-5.7228000000000003</v>
      </c>
      <c r="H15" s="3">
        <f>[1]!s_fa_yoy_or($A15,H$1)</f>
        <v>-13.2851</v>
      </c>
      <c r="I15" s="3">
        <f>[1]!s_fa_yoy_or($A15,I$1)</f>
        <v>-16.070599999999999</v>
      </c>
      <c r="J15" s="3">
        <f>[1]!s_fa_yoy_or($A15,J$1)</f>
        <v>1.7987</v>
      </c>
      <c r="K15" s="3">
        <f>[1]!s_fa_yoy_or($A15,K$1)</f>
        <v>2.9765000000000001</v>
      </c>
      <c r="L15" s="3">
        <f>[1]!s_fa_yoy_or($A15,L$1)</f>
        <v>4.5608000000000004</v>
      </c>
      <c r="M15" s="3">
        <f>[1]!s_fa_yoy_or($A15,M$1)</f>
        <v>5.0983999999999998</v>
      </c>
      <c r="N15" s="3">
        <f>[1]!s_fa_yoy_or($A15,N$1)</f>
        <v>5.9118000000000004</v>
      </c>
      <c r="O15" s="3">
        <f>[1]!s_fa_yoy_or($A15,O$1)</f>
        <v>9.1224000000000007</v>
      </c>
      <c r="P15" s="3">
        <f>[1]!s_fa_yoy_or($A15,P$1)</f>
        <v>8.9571000000000005</v>
      </c>
      <c r="Q15" s="3">
        <f>[1]!s_fa_yoy_or($A15,Q$1)</f>
        <v>9.782</v>
      </c>
      <c r="R15" s="3">
        <f>[1]!s_fa_yoy_or($A15,R$1)</f>
        <v>17.337800000000001</v>
      </c>
      <c r="S15" s="3">
        <f>[1]!s_fa_yoy_or($A15,S$1)</f>
        <v>18.080500000000001</v>
      </c>
      <c r="T15" s="3">
        <f>[1]!s_fa_yoy_or($A15,T$1)</f>
        <v>15.598000000000001</v>
      </c>
      <c r="U15" s="3">
        <f>[1]!s_fa_yoy_or($A15,U$1)</f>
        <v>12.255100000000001</v>
      </c>
      <c r="V15" s="3">
        <f>[1]!s_fa_yoy_or($A15,V$1)</f>
        <v>2.6402999999999999</v>
      </c>
      <c r="W15" s="3">
        <f>[1]!s_fa_yoy_or($A15,W$1)</f>
        <v>-9.74E-2</v>
      </c>
      <c r="X15" s="3">
        <f>[1]!s_fa_yoy_or($A15,X$1)</f>
        <v>-0.22070000000000001</v>
      </c>
      <c r="Y15" s="3">
        <f>[1]!s_fa_yoy_or($A15,Y$1)</f>
        <v>1.0442</v>
      </c>
    </row>
    <row r="16" spans="1:25">
      <c r="A16" s="8" t="s">
        <v>14</v>
      </c>
      <c r="B16" s="8" t="s">
        <v>57</v>
      </c>
      <c r="C16" s="3" t="str">
        <f ca="1">[1]!s_fa_yoy_or($A16,C$1)</f>
        <v>#N/A</v>
      </c>
      <c r="D16" s="3">
        <f>[1]!s_fa_yoy_or($A16,D$1)</f>
        <v>57.377200000000002</v>
      </c>
      <c r="E16" s="3">
        <f>[1]!s_fa_yoy_or($A16,E$1)</f>
        <v>56.893099999999997</v>
      </c>
      <c r="F16" s="3">
        <f>[1]!s_fa_yoy_or($A16,F$1)</f>
        <v>-24.918800000000001</v>
      </c>
      <c r="G16" s="3">
        <f>[1]!s_fa_yoy_or($A16,G$1)</f>
        <v>-38.457599999999999</v>
      </c>
      <c r="H16" s="3">
        <f>[1]!s_fa_yoy_or($A16,H$1)</f>
        <v>-46.224899999999998</v>
      </c>
      <c r="I16" s="3">
        <f>[1]!s_fa_yoy_or($A16,I$1)</f>
        <v>-49.482399999999998</v>
      </c>
      <c r="J16" s="3">
        <f>[1]!s_fa_yoy_or($A16,J$1)</f>
        <v>0.43359999999999999</v>
      </c>
      <c r="K16" s="3">
        <f>[1]!s_fa_yoy_or($A16,K$1)</f>
        <v>0.1343</v>
      </c>
      <c r="L16" s="3">
        <f>[1]!s_fa_yoy_or($A16,L$1)</f>
        <v>4.1706000000000003</v>
      </c>
      <c r="M16" s="3">
        <f>[1]!s_fa_yoy_or($A16,M$1)</f>
        <v>17.561900000000001</v>
      </c>
      <c r="N16" s="3">
        <f>[1]!s_fa_yoy_or($A16,N$1)</f>
        <v>21.966999999999999</v>
      </c>
      <c r="O16" s="3">
        <f>[1]!s_fa_yoy_or($A16,O$1)</f>
        <v>23.965</v>
      </c>
      <c r="P16" s="3">
        <f>[1]!s_fa_yoy_or($A16,P$1)</f>
        <v>27.8706</v>
      </c>
      <c r="Q16" s="3">
        <f>[1]!s_fa_yoy_or($A16,Q$1)</f>
        <v>21.1465</v>
      </c>
      <c r="R16" s="3">
        <f>[1]!s_fa_yoy_or($A16,R$1)</f>
        <v>15.82</v>
      </c>
      <c r="S16" s="3">
        <f>[1]!s_fa_yoy_or($A16,S$1)</f>
        <v>14.818300000000001</v>
      </c>
      <c r="T16" s="3">
        <f>[1]!s_fa_yoy_or($A16,T$1)</f>
        <v>12.968</v>
      </c>
      <c r="U16" s="3">
        <f>[1]!s_fa_yoy_or($A16,U$1)</f>
        <v>10.1935</v>
      </c>
      <c r="V16" s="3">
        <f>[1]!s_fa_yoy_or($A16,V$1)</f>
        <v>30.226500000000001</v>
      </c>
      <c r="W16" s="3">
        <f>[1]!s_fa_yoy_or($A16,W$1)</f>
        <v>27.3812</v>
      </c>
      <c r="X16" s="3">
        <f>[1]!s_fa_yoy_or($A16,X$1)</f>
        <v>22.092400000000001</v>
      </c>
      <c r="Y16" s="3">
        <f>[1]!s_fa_yoy_or($A16,Y$1)</f>
        <v>20.939499999999999</v>
      </c>
    </row>
    <row r="17" spans="1:25">
      <c r="A17" s="8" t="s">
        <v>15</v>
      </c>
      <c r="B17" s="8" t="s">
        <v>58</v>
      </c>
      <c r="C17" s="3" t="str">
        <f ca="1">[1]!s_fa_yoy_or($A17,C$1)</f>
        <v>#N/A</v>
      </c>
      <c r="D17" s="3">
        <f>[1]!s_fa_yoy_or($A17,D$1)</f>
        <v>28.7454</v>
      </c>
      <c r="E17" s="3">
        <f>[1]!s_fa_yoy_or($A17,E$1)</f>
        <v>46.1081</v>
      </c>
      <c r="F17" s="3">
        <f>[1]!s_fa_yoy_or($A17,F$1)</f>
        <v>1.4639</v>
      </c>
      <c r="G17" s="3">
        <f>[1]!s_fa_yoy_or($A17,G$1)</f>
        <v>-3.2225000000000001</v>
      </c>
      <c r="H17" s="3">
        <f>[1]!s_fa_yoy_or($A17,H$1)</f>
        <v>-11.459099999999999</v>
      </c>
      <c r="I17" s="3">
        <f>[1]!s_fa_yoy_or($A17,I$1)</f>
        <v>-24.119199999999999</v>
      </c>
      <c r="J17" s="3">
        <f>[1]!s_fa_yoy_or($A17,J$1)</f>
        <v>4.8391999999999999</v>
      </c>
      <c r="K17" s="3">
        <f>[1]!s_fa_yoy_or($A17,K$1)</f>
        <v>4.5210999999999997</v>
      </c>
      <c r="L17" s="3">
        <f>[1]!s_fa_yoy_or($A17,L$1)</f>
        <v>5.2930999999999999</v>
      </c>
      <c r="M17" s="3">
        <f>[1]!s_fa_yoy_or($A17,M$1)</f>
        <v>5.4832000000000001</v>
      </c>
      <c r="N17" s="3">
        <f>[1]!s_fa_yoy_or($A17,N$1)</f>
        <v>12.191000000000001</v>
      </c>
      <c r="O17" s="3">
        <f>[1]!s_fa_yoy_or($A17,O$1)</f>
        <v>13.3985</v>
      </c>
      <c r="P17" s="3">
        <f>[1]!s_fa_yoy_or($A17,P$1)</f>
        <v>16.005099999999999</v>
      </c>
      <c r="Q17" s="3">
        <f>[1]!s_fa_yoy_or($A17,Q$1)</f>
        <v>18.314299999999999</v>
      </c>
      <c r="R17" s="3">
        <f>[1]!s_fa_yoy_or($A17,R$1)</f>
        <v>28.964600000000001</v>
      </c>
      <c r="S17" s="3">
        <f>[1]!s_fa_yoy_or($A17,S$1)</f>
        <v>31.4392</v>
      </c>
      <c r="T17" s="3">
        <f>[1]!s_fa_yoy_or($A17,T$1)</f>
        <v>34.107700000000001</v>
      </c>
      <c r="U17" s="3">
        <f>[1]!s_fa_yoy_or($A17,U$1)</f>
        <v>30.271100000000001</v>
      </c>
      <c r="V17" s="3">
        <f>[1]!s_fa_yoy_or($A17,V$1)</f>
        <v>13.0868</v>
      </c>
      <c r="W17" s="3">
        <f>[1]!s_fa_yoy_or($A17,W$1)</f>
        <v>7.7481</v>
      </c>
      <c r="X17" s="3">
        <f>[1]!s_fa_yoy_or($A17,X$1)</f>
        <v>2.0718000000000001</v>
      </c>
      <c r="Y17" s="3">
        <f>[1]!s_fa_yoy_or($A17,Y$1)</f>
        <v>-0.72729999999999995</v>
      </c>
    </row>
    <row r="18" spans="1:25">
      <c r="A18" s="8" t="s">
        <v>16</v>
      </c>
      <c r="B18" s="8" t="s">
        <v>59</v>
      </c>
      <c r="C18" s="3" t="str">
        <f ca="1">[1]!s_fa_yoy_or($A18,C$1)</f>
        <v>#N/A</v>
      </c>
      <c r="D18" s="3">
        <f>[1]!s_fa_yoy_or($A18,D$1)</f>
        <v>18.5014</v>
      </c>
      <c r="E18" s="3">
        <f>[1]!s_fa_yoy_or($A18,E$1)</f>
        <v>28.251899999999999</v>
      </c>
      <c r="F18" s="3">
        <f>[1]!s_fa_yoy_or($A18,F$1)</f>
        <v>-11.9255</v>
      </c>
      <c r="G18" s="3">
        <f>[1]!s_fa_yoy_or($A18,G$1)</f>
        <v>-14.1088</v>
      </c>
      <c r="H18" s="3">
        <f>[1]!s_fa_yoy_or($A18,H$1)</f>
        <v>-15.925000000000001</v>
      </c>
      <c r="I18" s="3">
        <f>[1]!s_fa_yoy_or($A18,I$1)</f>
        <v>-27.0655</v>
      </c>
      <c r="J18" s="3">
        <f>[1]!s_fa_yoy_or($A18,J$1)</f>
        <v>1.7448999999999999</v>
      </c>
      <c r="K18" s="3">
        <f>[1]!s_fa_yoy_or($A18,K$1)</f>
        <v>-1.9154</v>
      </c>
      <c r="L18" s="3">
        <f>[1]!s_fa_yoy_or($A18,L$1)</f>
        <v>-3.3092000000000001</v>
      </c>
      <c r="M18" s="3">
        <f>[1]!s_fa_yoy_or($A18,M$1)</f>
        <v>0.6552</v>
      </c>
      <c r="N18" s="3">
        <f>[1]!s_fa_yoy_or($A18,N$1)</f>
        <v>9.0089000000000006</v>
      </c>
      <c r="O18" s="3">
        <f>[1]!s_fa_yoy_or($A18,O$1)</f>
        <v>13.2226</v>
      </c>
      <c r="P18" s="3">
        <f>[1]!s_fa_yoy_or($A18,P$1)</f>
        <v>18.067900000000002</v>
      </c>
      <c r="Q18" s="3">
        <f>[1]!s_fa_yoy_or($A18,Q$1)</f>
        <v>19.2194</v>
      </c>
      <c r="R18" s="3">
        <f>[1]!s_fa_yoy_or($A18,R$1)</f>
        <v>14.2171</v>
      </c>
      <c r="S18" s="3">
        <f>[1]!s_fa_yoy_or($A18,S$1)</f>
        <v>15.345499999999999</v>
      </c>
      <c r="T18" s="3">
        <f>[1]!s_fa_yoy_or($A18,T$1)</f>
        <v>15.1517</v>
      </c>
      <c r="U18" s="3">
        <f>[1]!s_fa_yoy_or($A18,U$1)</f>
        <v>9.1308000000000007</v>
      </c>
      <c r="V18" s="3">
        <f>[1]!s_fa_yoy_or($A18,V$1)</f>
        <v>12.5814</v>
      </c>
      <c r="W18" s="3">
        <f>[1]!s_fa_yoy_or($A18,W$1)</f>
        <v>8.4557000000000002</v>
      </c>
      <c r="X18" s="3">
        <f>[1]!s_fa_yoy_or($A18,X$1)</f>
        <v>9.9972999999999992</v>
      </c>
      <c r="Y18" s="3">
        <f>[1]!s_fa_yoy_or($A18,Y$1)</f>
        <v>10.3751</v>
      </c>
    </row>
    <row r="19" spans="1:25">
      <c r="A19" s="8" t="s">
        <v>17</v>
      </c>
      <c r="B19" s="8" t="s">
        <v>60</v>
      </c>
      <c r="C19" s="3" t="str">
        <f ca="1">[1]!s_fa_yoy_or($A19,C$1)</f>
        <v>#N/A</v>
      </c>
      <c r="D19" s="3">
        <f>[1]!s_fa_yoy_or($A19,D$1)</f>
        <v>22.0351</v>
      </c>
      <c r="E19" s="3">
        <f>[1]!s_fa_yoy_or($A19,E$1)</f>
        <v>29.5611</v>
      </c>
      <c r="F19" s="3">
        <f>[1]!s_fa_yoy_or($A19,F$1)</f>
        <v>7.1920999999999999</v>
      </c>
      <c r="G19" s="3">
        <f>[1]!s_fa_yoy_or($A19,G$1)</f>
        <v>2.9447000000000001</v>
      </c>
      <c r="H19" s="3">
        <f>[1]!s_fa_yoy_or($A19,H$1)</f>
        <v>-1.5674999999999999</v>
      </c>
      <c r="I19" s="3">
        <f>[1]!s_fa_yoy_or($A19,I$1)</f>
        <v>-7.3140999999999998</v>
      </c>
      <c r="J19" s="3">
        <f>[1]!s_fa_yoy_or($A19,J$1)</f>
        <v>13.0238</v>
      </c>
      <c r="K19" s="3">
        <f>[1]!s_fa_yoy_or($A19,K$1)</f>
        <v>15.2728</v>
      </c>
      <c r="L19" s="3">
        <f>[1]!s_fa_yoy_or($A19,L$1)</f>
        <v>16.465199999999999</v>
      </c>
      <c r="M19" s="3">
        <f>[1]!s_fa_yoy_or($A19,M$1)</f>
        <v>17.445499999999999</v>
      </c>
      <c r="N19" s="3">
        <f>[1]!s_fa_yoy_or($A19,N$1)</f>
        <v>19.409400000000002</v>
      </c>
      <c r="O19" s="3">
        <f>[1]!s_fa_yoy_or($A19,O$1)</f>
        <v>20.940200000000001</v>
      </c>
      <c r="P19" s="3">
        <f>[1]!s_fa_yoy_or($A19,P$1)</f>
        <v>20.044899999999998</v>
      </c>
      <c r="Q19" s="3">
        <f>[1]!s_fa_yoy_or($A19,Q$1)</f>
        <v>21.066400000000002</v>
      </c>
      <c r="R19" s="3">
        <f>[1]!s_fa_yoy_or($A19,R$1)</f>
        <v>15.245100000000001</v>
      </c>
      <c r="S19" s="3">
        <f>[1]!s_fa_yoy_or($A19,S$1)</f>
        <v>14.685</v>
      </c>
      <c r="T19" s="3">
        <f>[1]!s_fa_yoy_or($A19,T$1)</f>
        <v>14.113899999999999</v>
      </c>
      <c r="U19" s="3">
        <f>[1]!s_fa_yoy_or($A19,U$1)</f>
        <v>15.4329</v>
      </c>
      <c r="V19" s="3">
        <f>[1]!s_fa_yoy_or($A19,V$1)</f>
        <v>14.914</v>
      </c>
      <c r="W19" s="3">
        <f>[1]!s_fa_yoy_or($A19,W$1)</f>
        <v>14.2753</v>
      </c>
      <c r="X19" s="3">
        <f>[1]!s_fa_yoy_or($A19,X$1)</f>
        <v>14.4101</v>
      </c>
      <c r="Y19" s="3">
        <f>[1]!s_fa_yoy_or($A19,Y$1)</f>
        <v>14.5038</v>
      </c>
    </row>
    <row r="20" spans="1:25">
      <c r="A20" s="8" t="s">
        <v>18</v>
      </c>
      <c r="B20" s="8" t="s">
        <v>61</v>
      </c>
      <c r="C20" s="3" t="str">
        <f ca="1">[1]!s_fa_yoy_or($A20,C$1)</f>
        <v>#N/A</v>
      </c>
      <c r="D20" s="3">
        <f>[1]!s_fa_yoy_or($A20,D$1)</f>
        <v>14.4838</v>
      </c>
      <c r="E20" s="3">
        <f>[1]!s_fa_yoy_or($A20,E$1)</f>
        <v>22.511299999999999</v>
      </c>
      <c r="F20" s="3">
        <f>[1]!s_fa_yoy_or($A20,F$1)</f>
        <v>7.4622000000000002</v>
      </c>
      <c r="G20" s="3">
        <f>[1]!s_fa_yoy_or($A20,G$1)</f>
        <v>7.9146999999999998</v>
      </c>
      <c r="H20" s="3">
        <f>[1]!s_fa_yoy_or($A20,H$1)</f>
        <v>5.9880000000000004</v>
      </c>
      <c r="I20" s="3">
        <f>[1]!s_fa_yoy_or($A20,I$1)</f>
        <v>0.14979999999999999</v>
      </c>
      <c r="J20" s="3">
        <f>[1]!s_fa_yoy_or($A20,J$1)</f>
        <v>14.220499999999999</v>
      </c>
      <c r="K20" s="3">
        <f>[1]!s_fa_yoy_or($A20,K$1)</f>
        <v>12.807499999999999</v>
      </c>
      <c r="L20" s="3">
        <f>[1]!s_fa_yoy_or($A20,L$1)</f>
        <v>13.603899999999999</v>
      </c>
      <c r="M20" s="3">
        <f>[1]!s_fa_yoy_or($A20,M$1)</f>
        <v>14.3324</v>
      </c>
      <c r="N20" s="3">
        <f>[1]!s_fa_yoy_or($A20,N$1)</f>
        <v>13.7095</v>
      </c>
      <c r="O20" s="3">
        <f>[1]!s_fa_yoy_or($A20,O$1)</f>
        <v>13.9033</v>
      </c>
      <c r="P20" s="3">
        <f>[1]!s_fa_yoy_or($A20,P$1)</f>
        <v>16.101800000000001</v>
      </c>
      <c r="Q20" s="3">
        <f>[1]!s_fa_yoy_or($A20,Q$1)</f>
        <v>16.6097</v>
      </c>
      <c r="R20" s="3">
        <f>[1]!s_fa_yoy_or($A20,R$1)</f>
        <v>14.755599999999999</v>
      </c>
      <c r="S20" s="3">
        <f>[1]!s_fa_yoy_or($A20,S$1)</f>
        <v>15.7181</v>
      </c>
      <c r="T20" s="3">
        <f>[1]!s_fa_yoy_or($A20,T$1)</f>
        <v>12.853</v>
      </c>
      <c r="U20" s="3">
        <f>[1]!s_fa_yoy_or($A20,U$1)</f>
        <v>12.051399999999999</v>
      </c>
      <c r="V20" s="3">
        <f>[1]!s_fa_yoy_or($A20,V$1)</f>
        <v>7.5087000000000002</v>
      </c>
      <c r="W20" s="3">
        <f>[1]!s_fa_yoy_or($A20,W$1)</f>
        <v>6.0008999999999997</v>
      </c>
      <c r="X20" s="3">
        <f>[1]!s_fa_yoy_or($A20,X$1)</f>
        <v>5.8047000000000004</v>
      </c>
      <c r="Y20" s="3">
        <f>[1]!s_fa_yoy_or($A20,Y$1)</f>
        <v>9.5253999999999994</v>
      </c>
    </row>
    <row r="21" spans="1:25">
      <c r="A21" s="8" t="s">
        <v>19</v>
      </c>
      <c r="B21" s="8" t="s">
        <v>62</v>
      </c>
      <c r="C21" s="3" t="str">
        <f ca="1">[1]!s_fa_yoy_or($A21,C$1)</f>
        <v>#N/A</v>
      </c>
      <c r="D21" s="3">
        <f>[1]!s_fa_yoy_or($A21,D$1)</f>
        <v>34.748399999999997</v>
      </c>
      <c r="E21" s="3">
        <f>[1]!s_fa_yoy_or($A21,E$1)</f>
        <v>46.496400000000001</v>
      </c>
      <c r="F21" s="3">
        <f>[1]!s_fa_yoy_or($A21,F$1)</f>
        <v>25.870200000000001</v>
      </c>
      <c r="G21" s="3">
        <f>[1]!s_fa_yoy_or($A21,G$1)</f>
        <v>27.361699999999999</v>
      </c>
      <c r="H21" s="3">
        <f>[1]!s_fa_yoy_or($A21,H$1)</f>
        <v>22.6007</v>
      </c>
      <c r="I21" s="3">
        <f>[1]!s_fa_yoy_or($A21,I$1)</f>
        <v>16.645499999999998</v>
      </c>
      <c r="J21" s="3">
        <f>[1]!s_fa_yoy_or($A21,J$1)</f>
        <v>15.452299999999999</v>
      </c>
      <c r="K21" s="3">
        <f>[1]!s_fa_yoy_or($A21,K$1)</f>
        <v>9.4871999999999996</v>
      </c>
      <c r="L21" s="3">
        <f>[1]!s_fa_yoy_or($A21,L$1)</f>
        <v>8.6157000000000004</v>
      </c>
      <c r="M21" s="3">
        <f>[1]!s_fa_yoy_or($A21,M$1)</f>
        <v>7.6646000000000001</v>
      </c>
      <c r="N21" s="3">
        <f>[1]!s_fa_yoy_or($A21,N$1)</f>
        <v>8.5062999999999995</v>
      </c>
      <c r="O21" s="3">
        <f>[1]!s_fa_yoy_or($A21,O$1)</f>
        <v>8.7005999999999997</v>
      </c>
      <c r="P21" s="3">
        <f>[1]!s_fa_yoy_or($A21,P$1)</f>
        <v>7.7747999999999999</v>
      </c>
      <c r="Q21" s="3">
        <f>[1]!s_fa_yoy_or($A21,Q$1)</f>
        <v>7.7728000000000002</v>
      </c>
      <c r="R21" s="3">
        <f>[1]!s_fa_yoy_or($A21,R$1)</f>
        <v>11.769299999999999</v>
      </c>
      <c r="S21" s="3">
        <f>[1]!s_fa_yoy_or($A21,S$1)</f>
        <v>14.8256</v>
      </c>
      <c r="T21" s="3">
        <f>[1]!s_fa_yoy_or($A21,T$1)</f>
        <v>16.727599999999999</v>
      </c>
      <c r="U21" s="3">
        <f>[1]!s_fa_yoy_or($A21,U$1)</f>
        <v>32.408099999999997</v>
      </c>
      <c r="V21" s="3">
        <f>[1]!s_fa_yoy_or($A21,V$1)</f>
        <v>19.869599999999998</v>
      </c>
      <c r="W21" s="3">
        <f>[1]!s_fa_yoy_or($A21,W$1)</f>
        <v>13.874599999999999</v>
      </c>
      <c r="X21" s="3">
        <f>[1]!s_fa_yoy_or($A21,X$1)</f>
        <v>8.9474</v>
      </c>
      <c r="Y21" s="3">
        <f>[1]!s_fa_yoy_or($A21,Y$1)</f>
        <v>-3.3837999999999999</v>
      </c>
    </row>
    <row r="22" spans="1:25">
      <c r="A22" s="8" t="s">
        <v>20</v>
      </c>
      <c r="B22" s="8" t="s">
        <v>63</v>
      </c>
      <c r="C22" s="3" t="str">
        <f ca="1">[1]!s_fa_yoy_or($A22,C$1)</f>
        <v>#N/A</v>
      </c>
      <c r="D22" s="3">
        <f>[1]!s_fa_yoy_or($A22,D$1)</f>
        <v>5.9028</v>
      </c>
      <c r="E22" s="3">
        <f>[1]!s_fa_yoy_or($A22,E$1)</f>
        <v>3.5508999999999999</v>
      </c>
      <c r="F22" s="3">
        <f>[1]!s_fa_yoy_or($A22,F$1)</f>
        <v>5.6142000000000003</v>
      </c>
      <c r="G22" s="3">
        <f>[1]!s_fa_yoy_or($A22,G$1)</f>
        <v>5.3872999999999998</v>
      </c>
      <c r="H22" s="3">
        <f>[1]!s_fa_yoy_or($A22,H$1)</f>
        <v>6.3856999999999999</v>
      </c>
      <c r="I22" s="3">
        <f>[1]!s_fa_yoy_or($A22,I$1)</f>
        <v>7.1285999999999996</v>
      </c>
      <c r="J22" s="3">
        <f>[1]!s_fa_yoy_or($A22,J$1)</f>
        <v>10.312099999999999</v>
      </c>
      <c r="K22" s="3">
        <f>[1]!s_fa_yoy_or($A22,K$1)</f>
        <v>11.698399999999999</v>
      </c>
      <c r="L22" s="3">
        <f>[1]!s_fa_yoy_or($A22,L$1)</f>
        <v>12.517799999999999</v>
      </c>
      <c r="M22" s="3">
        <f>[1]!s_fa_yoy_or($A22,M$1)</f>
        <v>15.930199999999999</v>
      </c>
      <c r="N22" s="3">
        <f>[1]!s_fa_yoy_or($A22,N$1)</f>
        <v>8.2111000000000001</v>
      </c>
      <c r="O22" s="3">
        <f>[1]!s_fa_yoy_or($A22,O$1)</f>
        <v>7.8480999999999996</v>
      </c>
      <c r="P22" s="3">
        <f>[1]!s_fa_yoy_or($A22,P$1)</f>
        <v>6.1601999999999997</v>
      </c>
      <c r="Q22" s="3">
        <f>[1]!s_fa_yoy_or($A22,Q$1)</f>
        <v>2.677</v>
      </c>
      <c r="R22" s="3">
        <f>[1]!s_fa_yoy_or($A22,R$1)</f>
        <v>2.6095000000000002</v>
      </c>
      <c r="S22" s="3">
        <f>[1]!s_fa_yoy_or($A22,S$1)</f>
        <v>0.6885</v>
      </c>
      <c r="T22" s="3">
        <f>[1]!s_fa_yoy_or($A22,T$1)</f>
        <v>-1.3050999999999999</v>
      </c>
      <c r="U22" s="3">
        <f>[1]!s_fa_yoy_or($A22,U$1)</f>
        <v>-1.8423</v>
      </c>
      <c r="V22" s="3">
        <f>[1]!s_fa_yoy_or($A22,V$1)</f>
        <v>0.53359999999999996</v>
      </c>
      <c r="W22" s="3">
        <f>[1]!s_fa_yoy_or($A22,W$1)</f>
        <v>2.1408999999999998</v>
      </c>
      <c r="X22" s="3">
        <f>[1]!s_fa_yoy_or($A22,X$1)</f>
        <v>5.4127000000000001</v>
      </c>
      <c r="Y22" s="3">
        <f>[1]!s_fa_yoy_or($A22,Y$1)</f>
        <v>10.563499999999999</v>
      </c>
    </row>
    <row r="23" spans="1:25">
      <c r="A23" s="8" t="s">
        <v>21</v>
      </c>
      <c r="B23" s="8" t="s">
        <v>64</v>
      </c>
      <c r="C23" s="3" t="str">
        <f ca="1">[1]!s_fa_yoy_or($A23,C$1)</f>
        <v>#N/A</v>
      </c>
      <c r="D23" s="3">
        <f>[1]!s_fa_yoy_or($A23,D$1)</f>
        <v>6.1969000000000003</v>
      </c>
      <c r="E23" s="3">
        <f>[1]!s_fa_yoy_or($A23,E$1)</f>
        <v>8.1309000000000005</v>
      </c>
      <c r="F23" s="3">
        <f>[1]!s_fa_yoy_or($A23,F$1)</f>
        <v>8.6228999999999996</v>
      </c>
      <c r="G23" s="3">
        <f>[1]!s_fa_yoy_or($A23,G$1)</f>
        <v>9.3640000000000008</v>
      </c>
      <c r="H23" s="3">
        <f>[1]!s_fa_yoy_or($A23,H$1)</f>
        <v>6.7694000000000001</v>
      </c>
      <c r="I23" s="3">
        <f>[1]!s_fa_yoy_or($A23,I$1)</f>
        <v>3.5900000000000001E-2</v>
      </c>
      <c r="J23" s="3">
        <f>[1]!s_fa_yoy_or($A23,J$1)</f>
        <v>18.389600000000002</v>
      </c>
      <c r="K23" s="3">
        <f>[1]!s_fa_yoy_or($A23,K$1)</f>
        <v>17.559100000000001</v>
      </c>
      <c r="L23" s="3">
        <f>[1]!s_fa_yoy_or($A23,L$1)</f>
        <v>16.7285</v>
      </c>
      <c r="M23" s="3">
        <f>[1]!s_fa_yoy_or($A23,M$1)</f>
        <v>19.3551</v>
      </c>
      <c r="N23" s="3">
        <f>[1]!s_fa_yoy_or($A23,N$1)</f>
        <v>3.6665000000000001</v>
      </c>
      <c r="O23" s="3">
        <f>[1]!s_fa_yoy_or($A23,O$1)</f>
        <v>5.0132000000000003</v>
      </c>
      <c r="P23" s="3">
        <f>[1]!s_fa_yoy_or($A23,P$1)</f>
        <v>7.6722000000000001</v>
      </c>
      <c r="Q23" s="3">
        <f>[1]!s_fa_yoy_or($A23,Q$1)</f>
        <v>6.5613000000000001</v>
      </c>
      <c r="R23" s="3">
        <f>[1]!s_fa_yoy_or($A23,R$1)</f>
        <v>17.8767</v>
      </c>
      <c r="S23" s="3">
        <f>[1]!s_fa_yoy_or($A23,S$1)</f>
        <v>16.944400000000002</v>
      </c>
      <c r="T23" s="3">
        <f>[1]!s_fa_yoy_or($A23,T$1)</f>
        <v>16.5122</v>
      </c>
      <c r="U23" s="3">
        <f>[1]!s_fa_yoy_or($A23,U$1)</f>
        <v>20.634499999999999</v>
      </c>
      <c r="V23" s="3">
        <f>[1]!s_fa_yoy_or($A23,V$1)</f>
        <v>0.62419999999999998</v>
      </c>
      <c r="W23" s="3">
        <f>[1]!s_fa_yoy_or($A23,W$1)</f>
        <v>0.312</v>
      </c>
      <c r="X23" s="3">
        <f>[1]!s_fa_yoy_or($A23,X$1)</f>
        <v>-5.2647000000000004</v>
      </c>
      <c r="Y23" s="3">
        <f>[1]!s_fa_yoy_or($A23,Y$1)</f>
        <v>7.0187999999999997</v>
      </c>
    </row>
    <row r="24" spans="1:25">
      <c r="A24" s="8" t="s">
        <v>22</v>
      </c>
      <c r="B24" s="8" t="s">
        <v>65</v>
      </c>
      <c r="C24" s="3" t="str">
        <f ca="1">[1]!s_fa_yoy_or($A24,C$1)</f>
        <v>#N/A</v>
      </c>
      <c r="D24" s="3">
        <f>[1]!s_fa_yoy_or($A24,D$1)</f>
        <v>30.273900000000001</v>
      </c>
      <c r="E24" s="3">
        <f>[1]!s_fa_yoy_or($A24,E$1)</f>
        <v>36.051699999999997</v>
      </c>
      <c r="F24" s="3">
        <f>[1]!s_fa_yoy_or($A24,F$1)</f>
        <v>10.800599999999999</v>
      </c>
      <c r="G24" s="3">
        <f>[1]!s_fa_yoy_or($A24,G$1)</f>
        <v>6.3888999999999996</v>
      </c>
      <c r="H24" s="3">
        <f>[1]!s_fa_yoy_or($A24,H$1)</f>
        <v>2.1884999999999999</v>
      </c>
      <c r="I24" s="3">
        <f>[1]!s_fa_yoy_or($A24,I$1)</f>
        <v>-4.7662000000000004</v>
      </c>
      <c r="J24" s="3">
        <f>[1]!s_fa_yoy_or($A24,J$1)</f>
        <v>18.620799999999999</v>
      </c>
      <c r="K24" s="3">
        <f>[1]!s_fa_yoy_or($A24,K$1)</f>
        <v>19.878900000000002</v>
      </c>
      <c r="L24" s="3">
        <f>[1]!s_fa_yoy_or($A24,L$1)</f>
        <v>21.5274</v>
      </c>
      <c r="M24" s="3">
        <f>[1]!s_fa_yoy_or($A24,M$1)</f>
        <v>21.247499999999999</v>
      </c>
      <c r="N24" s="3">
        <f>[1]!s_fa_yoy_or($A24,N$1)</f>
        <v>19.919499999999999</v>
      </c>
      <c r="O24" s="3">
        <f>[1]!s_fa_yoy_or($A24,O$1)</f>
        <v>26.5227</v>
      </c>
      <c r="P24" s="3">
        <f>[1]!s_fa_yoy_or($A24,P$1)</f>
        <v>22.324400000000001</v>
      </c>
      <c r="Q24" s="3">
        <f>[1]!s_fa_yoy_or($A24,Q$1)</f>
        <v>19.487300000000001</v>
      </c>
      <c r="R24" s="3">
        <f>[1]!s_fa_yoy_or($A24,R$1)</f>
        <v>7.3894000000000002</v>
      </c>
      <c r="S24" s="3">
        <f>[1]!s_fa_yoy_or($A24,S$1)</f>
        <v>2.9567999999999999</v>
      </c>
      <c r="T24" s="3">
        <f>[1]!s_fa_yoy_or($A24,T$1)</f>
        <v>5.4085999999999999</v>
      </c>
      <c r="U24" s="3">
        <f>[1]!s_fa_yoy_or($A24,U$1)</f>
        <v>10.8514</v>
      </c>
      <c r="V24" s="3">
        <f>[1]!s_fa_yoy_or($A24,V$1)</f>
        <v>29.687100000000001</v>
      </c>
      <c r="W24" s="3">
        <f>[1]!s_fa_yoy_or($A24,W$1)</f>
        <v>36.702800000000003</v>
      </c>
      <c r="X24" s="3">
        <f>[1]!s_fa_yoy_or($A24,X$1)</f>
        <v>40.605699999999999</v>
      </c>
      <c r="Y24" s="3">
        <f>[1]!s_fa_yoy_or($A24,Y$1)</f>
        <v>54.131900000000002</v>
      </c>
    </row>
    <row r="25" spans="1:25">
      <c r="A25" s="8" t="s">
        <v>23</v>
      </c>
      <c r="B25" s="8" t="s">
        <v>66</v>
      </c>
      <c r="C25" s="3" t="str">
        <f ca="1">[1]!s_fa_yoy_or($A25,C$1)</f>
        <v>#N/A</v>
      </c>
      <c r="D25" s="3">
        <f>[1]!s_fa_yoy_or($A25,D$1)</f>
        <v>45.743600000000001</v>
      </c>
      <c r="E25" s="3">
        <f>[1]!s_fa_yoy_or($A25,E$1)</f>
        <v>38.952399999999997</v>
      </c>
      <c r="F25" s="3">
        <f>[1]!s_fa_yoy_or($A25,F$1)</f>
        <v>-1.6903999999999999</v>
      </c>
      <c r="G25" s="3">
        <f>[1]!s_fa_yoy_or($A25,G$1)</f>
        <v>-5.2393000000000001</v>
      </c>
      <c r="H25" s="3">
        <f>[1]!s_fa_yoy_or($A25,H$1)</f>
        <v>-7.9694000000000003</v>
      </c>
      <c r="I25" s="3">
        <f>[1]!s_fa_yoy_or($A25,I$1)</f>
        <v>-10.854799999999999</v>
      </c>
      <c r="J25" s="3">
        <f>[1]!s_fa_yoy_or($A25,J$1)</f>
        <v>7.7553999999999998</v>
      </c>
      <c r="K25" s="3">
        <f>[1]!s_fa_yoy_or($A25,K$1)</f>
        <v>7.2691999999999997</v>
      </c>
      <c r="L25" s="3">
        <f>[1]!s_fa_yoy_or($A25,L$1)</f>
        <v>7.3305999999999996</v>
      </c>
      <c r="M25" s="3">
        <f>[1]!s_fa_yoy_or($A25,M$1)</f>
        <v>8.5086999999999993</v>
      </c>
      <c r="N25" s="2">
        <f>[1]!s_fa_yoy_or($A25,N$1)</f>
        <v>13.282</v>
      </c>
      <c r="O25" s="3">
        <f>[1]!s_fa_yoy_or($A25,O$1)</f>
        <v>14.108599999999999</v>
      </c>
      <c r="P25" s="3">
        <f>[1]!s_fa_yoy_or($A25,P$1)</f>
        <v>12.898400000000001</v>
      </c>
      <c r="Q25" s="3">
        <f>[1]!s_fa_yoy_or($A25,Q$1)</f>
        <v>14.8459</v>
      </c>
      <c r="R25" s="3">
        <f>[1]!s_fa_yoy_or($A25,R$1)</f>
        <v>46.656300000000002</v>
      </c>
      <c r="S25" s="3">
        <f>[1]!s_fa_yoy_or($A25,S$1)</f>
        <v>54.887999999999998</v>
      </c>
      <c r="T25" s="3">
        <f>[1]!s_fa_yoy_or($A25,T$1)</f>
        <v>57.627499999999998</v>
      </c>
      <c r="U25" s="3">
        <f>[1]!s_fa_yoy_or($A25,U$1)</f>
        <v>54.505000000000003</v>
      </c>
      <c r="V25" s="3">
        <f>[1]!s_fa_yoy_or($A25,V$1)</f>
        <v>14.4819</v>
      </c>
      <c r="W25" s="3">
        <f>[1]!s_fa_yoy_or($A25,W$1)</f>
        <v>5.86</v>
      </c>
      <c r="X25" s="3">
        <f>[1]!s_fa_yoy_or($A25,X$1)</f>
        <v>5.5612000000000004</v>
      </c>
      <c r="Y25" s="3">
        <f>[1]!s_fa_yoy_or($A25,Y$1)</f>
        <v>-0.81620000000000004</v>
      </c>
    </row>
    <row r="26" spans="1:25">
      <c r="A26" s="8" t="s">
        <v>24</v>
      </c>
      <c r="B26" s="8" t="s">
        <v>67</v>
      </c>
      <c r="C26" s="3" t="str">
        <f ca="1">[1]!s_fa_yoy_or($A26,C$1)</f>
        <v>#N/A</v>
      </c>
      <c r="D26" s="3">
        <f>[1]!s_fa_yoy_or($A26,D$1)</f>
        <v>43.5852</v>
      </c>
      <c r="E26" s="3">
        <f>[1]!s_fa_yoy_or($A26,E$1)</f>
        <v>54.159500000000001</v>
      </c>
      <c r="F26" s="3">
        <f>[1]!s_fa_yoy_or($A26,F$1)</f>
        <v>11.0296</v>
      </c>
      <c r="G26" s="3">
        <f>[1]!s_fa_yoy_or($A26,G$1)</f>
        <v>7.6532</v>
      </c>
      <c r="H26" s="3">
        <f>[1]!s_fa_yoy_or($A26,H$1)</f>
        <v>2.5831</v>
      </c>
      <c r="I26" s="3">
        <f>[1]!s_fa_yoy_or($A26,I$1)</f>
        <v>-2.8561999999999999</v>
      </c>
      <c r="J26" s="3">
        <f>[1]!s_fa_yoy_or($A26,J$1)</f>
        <v>13.135999999999999</v>
      </c>
      <c r="K26" s="3">
        <f>[1]!s_fa_yoy_or($A26,K$1)</f>
        <v>12.5768</v>
      </c>
      <c r="L26" s="3">
        <f>[1]!s_fa_yoy_or($A26,L$1)</f>
        <v>12.6691</v>
      </c>
      <c r="M26" s="3">
        <f>[1]!s_fa_yoy_or($A26,M$1)</f>
        <v>16.4666</v>
      </c>
      <c r="N26" s="3">
        <f>[1]!s_fa_yoy_or($A26,N$1)</f>
        <v>17.001000000000001</v>
      </c>
      <c r="O26" s="3">
        <f>[1]!s_fa_yoy_or($A26,O$1)</f>
        <v>18.599900000000002</v>
      </c>
      <c r="P26" s="3">
        <f>[1]!s_fa_yoy_or($A26,P$1)</f>
        <v>17.9011</v>
      </c>
      <c r="Q26" s="3">
        <f>[1]!s_fa_yoy_or($A26,Q$1)</f>
        <v>17.918500000000002</v>
      </c>
      <c r="R26" s="3">
        <f>[1]!s_fa_yoy_or($A26,R$1)</f>
        <v>33.146299999999997</v>
      </c>
      <c r="S26" s="3">
        <f>[1]!s_fa_yoy_or($A26,S$1)</f>
        <v>37.531300000000002</v>
      </c>
      <c r="T26" s="3">
        <f>[1]!s_fa_yoy_or($A26,T$1)</f>
        <v>41.733699999999999</v>
      </c>
      <c r="U26" s="3">
        <f>[1]!s_fa_yoy_or($A26,U$1)</f>
        <v>43.716299999999997</v>
      </c>
      <c r="V26" s="3">
        <f>[1]!s_fa_yoy_or($A26,V$1)</f>
        <v>27.332100000000001</v>
      </c>
      <c r="W26" s="3">
        <f>[1]!s_fa_yoy_or($A26,W$1)</f>
        <v>23.944700000000001</v>
      </c>
      <c r="X26" s="3">
        <f>[1]!s_fa_yoy_or($A26,X$1)</f>
        <v>21.631599999999999</v>
      </c>
      <c r="Y26" s="3">
        <f>[1]!s_fa_yoy_or($A26,Y$1)</f>
        <v>20.869800000000001</v>
      </c>
    </row>
    <row r="27" spans="1:25">
      <c r="A27" s="8" t="s">
        <v>25</v>
      </c>
      <c r="B27" s="8" t="s">
        <v>68</v>
      </c>
      <c r="C27" s="3" t="str">
        <f ca="1">[1]!s_fa_yoy_or($A27,C$1)</f>
        <v>#N/A</v>
      </c>
      <c r="D27" s="3">
        <f>[1]!s_fa_yoy_or($A27,D$1)</f>
        <v>12.141400000000001</v>
      </c>
      <c r="E27" s="3">
        <f>[1]!s_fa_yoy_or($A27,E$1)</f>
        <v>20.067</v>
      </c>
      <c r="F27" s="3">
        <f>[1]!s_fa_yoy_or($A27,F$1)</f>
        <v>4.7595999999999998</v>
      </c>
      <c r="G27" s="3">
        <f>[1]!s_fa_yoy_or($A27,G$1)</f>
        <v>3.9754999999999998</v>
      </c>
      <c r="H27" s="3">
        <f>[1]!s_fa_yoy_or($A27,H$1)</f>
        <v>3.5306000000000002</v>
      </c>
      <c r="I27" s="3">
        <f>[1]!s_fa_yoy_or($A27,I$1)</f>
        <v>-3.234</v>
      </c>
      <c r="J27" s="3">
        <f>[1]!s_fa_yoy_or($A27,J$1)</f>
        <v>2.3338000000000001</v>
      </c>
      <c r="K27" s="3">
        <f>[1]!s_fa_yoy_or($A27,K$1)</f>
        <v>2.4470000000000001</v>
      </c>
      <c r="L27" s="3">
        <f>[1]!s_fa_yoy_or($A27,L$1)</f>
        <v>2.6701000000000001</v>
      </c>
      <c r="M27" s="3">
        <f>[1]!s_fa_yoy_or($A27,M$1)</f>
        <v>0.4798</v>
      </c>
      <c r="N27" s="3">
        <f>[1]!s_fa_yoy_or($A27,N$1)</f>
        <v>4.5308999999999999</v>
      </c>
      <c r="O27" s="3">
        <f>[1]!s_fa_yoy_or($A27,O$1)</f>
        <v>5.4589999999999996</v>
      </c>
      <c r="P27" s="3">
        <f>[1]!s_fa_yoy_or($A27,P$1)</f>
        <v>6.4164000000000003</v>
      </c>
      <c r="Q27" s="3">
        <f>[1]!s_fa_yoy_or($A27,Q$1)</f>
        <v>13.8695</v>
      </c>
      <c r="R27" s="3">
        <f>[1]!s_fa_yoy_or($A27,R$1)</f>
        <v>9.1218000000000004</v>
      </c>
      <c r="S27" s="3">
        <f>[1]!s_fa_yoy_or($A27,S$1)</f>
        <v>8.0330999999999992</v>
      </c>
      <c r="T27" s="3">
        <f>[1]!s_fa_yoy_or($A27,T$1)</f>
        <v>6.8087999999999997</v>
      </c>
      <c r="U27" s="3">
        <f>[1]!s_fa_yoy_or($A27,U$1)</f>
        <v>2.6957</v>
      </c>
      <c r="V27" s="3">
        <f>[1]!s_fa_yoy_or($A27,V$1)</f>
        <v>2.8224</v>
      </c>
      <c r="W27" s="3">
        <f>[1]!s_fa_yoy_or($A27,W$1)</f>
        <v>4.7988999999999997</v>
      </c>
      <c r="X27" s="3">
        <f>[1]!s_fa_yoy_or($A27,X$1)</f>
        <v>5.0298999999999996</v>
      </c>
      <c r="Y27" s="3">
        <f>[1]!s_fa_yoy_or($A27,Y$1)</f>
        <v>3.5577000000000001</v>
      </c>
    </row>
    <row r="28" spans="1:25">
      <c r="A28" s="8" t="s">
        <v>26</v>
      </c>
      <c r="B28" s="8" t="s">
        <v>69</v>
      </c>
      <c r="C28" s="3" t="str">
        <f ca="1">[1]!s_fa_yoy_or($A28,C$1)</f>
        <v>#N/A</v>
      </c>
      <c r="D28" s="3">
        <f>[1]!s_fa_yoy_or($A28,D$1)</f>
        <v>19.250800000000002</v>
      </c>
      <c r="E28" s="3">
        <f>[1]!s_fa_yoy_or($A28,E$1)</f>
        <v>32.210700000000003</v>
      </c>
      <c r="F28" s="3">
        <f>[1]!s_fa_yoy_or($A28,F$1)</f>
        <v>-3.157</v>
      </c>
      <c r="G28" s="3">
        <f>[1]!s_fa_yoy_or($A28,G$1)</f>
        <v>1.0001</v>
      </c>
      <c r="H28" s="3">
        <f>[1]!s_fa_yoy_or($A28,H$1)</f>
        <v>0.88390000000000002</v>
      </c>
      <c r="I28" s="3">
        <f>[1]!s_fa_yoy_or($A28,I$1)</f>
        <v>-13.8627</v>
      </c>
      <c r="J28" s="3">
        <f>[1]!s_fa_yoy_or($A28,J$1)</f>
        <v>8.6815999999999995</v>
      </c>
      <c r="K28" s="3">
        <f>[1]!s_fa_yoy_or($A28,K$1)</f>
        <v>5.9062000000000001</v>
      </c>
      <c r="L28" s="3">
        <f>[1]!s_fa_yoy_or($A28,L$1)</f>
        <v>3.9430000000000001</v>
      </c>
      <c r="M28" s="3">
        <f>[1]!s_fa_yoy_or($A28,M$1)</f>
        <v>11.9147</v>
      </c>
      <c r="N28" s="3">
        <f>[1]!s_fa_yoy_or($A28,N$1)</f>
        <v>15.7986</v>
      </c>
      <c r="O28" s="3">
        <f>[1]!s_fa_yoy_or($A28,O$1)</f>
        <v>22.912199999999999</v>
      </c>
      <c r="P28" s="3">
        <f>[1]!s_fa_yoy_or($A28,P$1)</f>
        <v>25.134399999999999</v>
      </c>
      <c r="Q28" s="3">
        <f>[1]!s_fa_yoy_or($A28,Q$1)</f>
        <v>27.089099999999998</v>
      </c>
      <c r="R28" s="3">
        <f>[1]!s_fa_yoy_or($A28,R$1)</f>
        <v>1.8043</v>
      </c>
      <c r="S28" s="3">
        <f>[1]!s_fa_yoy_or($A28,S$1)</f>
        <v>1.6456999999999999</v>
      </c>
      <c r="T28" s="3">
        <f>[1]!s_fa_yoy_or($A28,T$1)</f>
        <v>0.7006</v>
      </c>
      <c r="U28" s="3">
        <f>[1]!s_fa_yoy_or($A28,U$1)</f>
        <v>-0.99580000000000002</v>
      </c>
      <c r="V28" s="3">
        <f>[1]!s_fa_yoy_or($A28,V$1)</f>
        <v>15.783200000000001</v>
      </c>
      <c r="W28" s="3">
        <f>[1]!s_fa_yoy_or($A28,W$1)</f>
        <v>15.546900000000001</v>
      </c>
      <c r="X28" s="3">
        <f>[1]!s_fa_yoy_or($A28,X$1)</f>
        <v>15.8589</v>
      </c>
      <c r="Y28" s="3">
        <f>[1]!s_fa_yoy_or($A28,Y$1)</f>
        <v>12.404500000000001</v>
      </c>
    </row>
    <row r="29" spans="1:25">
      <c r="A29" s="8" t="s">
        <v>27</v>
      </c>
      <c r="B29" s="8" t="s">
        <v>70</v>
      </c>
      <c r="C29" s="3" t="str">
        <f ca="1">[1]!s_fa_yoy_or($A29,C$1)</f>
        <v>#N/A</v>
      </c>
      <c r="D29" s="3">
        <f>[1]!s_fa_yoy_or($A29,D$1)</f>
        <v>18.557500000000001</v>
      </c>
      <c r="E29" s="3">
        <f>[1]!s_fa_yoy_or($A29,E$1)</f>
        <v>19.6586</v>
      </c>
      <c r="F29" s="3">
        <f>[1]!s_fa_yoy_or($A29,F$1)</f>
        <v>-6.1292999999999997</v>
      </c>
      <c r="G29" s="3">
        <f>[1]!s_fa_yoy_or($A29,G$1)</f>
        <v>-8.6984999999999992</v>
      </c>
      <c r="H29" s="3">
        <f>[1]!s_fa_yoy_or($A29,H$1)</f>
        <v>-10.844900000000001</v>
      </c>
      <c r="I29" s="3">
        <f>[1]!s_fa_yoy_or($A29,I$1)</f>
        <v>-12.2944</v>
      </c>
      <c r="J29" s="3">
        <f>[1]!s_fa_yoy_or($A29,J$1)</f>
        <v>-1.0759000000000001</v>
      </c>
      <c r="K29" s="3">
        <f>[1]!s_fa_yoy_or($A29,K$1)</f>
        <v>1.0993999999999999</v>
      </c>
      <c r="L29" s="3">
        <f>[1]!s_fa_yoy_or($A29,L$1)</f>
        <v>1.4806999999999999</v>
      </c>
      <c r="M29" s="3">
        <f>[1]!s_fa_yoy_or($A29,M$1)</f>
        <v>4.9603000000000002</v>
      </c>
      <c r="N29" s="3">
        <f>[1]!s_fa_yoy_or($A29,N$1)</f>
        <v>9.9009</v>
      </c>
      <c r="O29" s="3">
        <f>[1]!s_fa_yoy_or($A29,O$1)</f>
        <v>14.8748</v>
      </c>
      <c r="P29" s="3">
        <f>[1]!s_fa_yoy_or($A29,P$1)</f>
        <v>13.015599999999999</v>
      </c>
      <c r="Q29" s="3">
        <f>[1]!s_fa_yoy_or($A29,Q$1)</f>
        <v>9.4474999999999998</v>
      </c>
      <c r="R29" s="3">
        <f>[1]!s_fa_yoy_or($A29,R$1)</f>
        <v>11.0854</v>
      </c>
      <c r="S29" s="3">
        <f>[1]!s_fa_yoy_or($A29,S$1)</f>
        <v>13.4848</v>
      </c>
      <c r="T29" s="3">
        <f>[1]!s_fa_yoy_or($A29,T$1)</f>
        <v>15.3375</v>
      </c>
      <c r="U29" s="3">
        <f>[1]!s_fa_yoy_or($A29,U$1)</f>
        <v>20.971800000000002</v>
      </c>
      <c r="V29" s="3">
        <f>[1]!s_fa_yoy_or($A29,V$1)</f>
        <v>25.308299999999999</v>
      </c>
      <c r="W29" s="3">
        <f>[1]!s_fa_yoy_or($A29,W$1)</f>
        <v>26.689399999999999</v>
      </c>
      <c r="X29" s="3">
        <f>[1]!s_fa_yoy_or($A29,X$1)</f>
        <v>27.9773</v>
      </c>
      <c r="Y29" s="3">
        <f>[1]!s_fa_yoy_or($A29,Y$1)</f>
        <v>31.557200000000002</v>
      </c>
    </row>
    <row r="30" spans="1:25">
      <c r="A30" s="8" t="s">
        <v>28</v>
      </c>
      <c r="B30" s="8" t="s">
        <v>71</v>
      </c>
      <c r="C30" s="3" t="str">
        <f ca="1">[1]!s_fa_yoy_or($A30,C$1)</f>
        <v>#N/A</v>
      </c>
      <c r="D30" s="3">
        <f>[1]!s_fa_yoy_or($A30,D$1)</f>
        <v>39.979199999999999</v>
      </c>
      <c r="E30" s="3">
        <f>[1]!s_fa_yoy_or($A30,E$1)</f>
        <v>46.536499999999997</v>
      </c>
      <c r="F30" s="3">
        <f>[1]!s_fa_yoy_or($A30,F$1)</f>
        <v>9.8716000000000008</v>
      </c>
      <c r="G30" s="3">
        <f>[1]!s_fa_yoy_or($A30,G$1)</f>
        <v>9.1944999999999997</v>
      </c>
      <c r="H30" s="3">
        <f>[1]!s_fa_yoy_or($A30,H$1)</f>
        <v>5.4633000000000003</v>
      </c>
      <c r="I30" s="3">
        <f>[1]!s_fa_yoy_or($A30,I$1)</f>
        <v>-7.7371999999999996</v>
      </c>
      <c r="J30" s="3">
        <f>[1]!s_fa_yoy_or($A30,J$1)</f>
        <v>14.382199999999999</v>
      </c>
      <c r="K30" s="3">
        <f>[1]!s_fa_yoy_or($A30,K$1)</f>
        <v>16.061699999999998</v>
      </c>
      <c r="L30" s="3">
        <f>[1]!s_fa_yoy_or($A30,L$1)</f>
        <v>18.7988</v>
      </c>
      <c r="M30" s="3">
        <f>[1]!s_fa_yoy_or($A30,M$1)</f>
        <v>30.081600000000002</v>
      </c>
      <c r="N30" s="3">
        <f>[1]!s_fa_yoy_or($A30,N$1)</f>
        <v>17.007200000000001</v>
      </c>
      <c r="O30" s="3">
        <f>[1]!s_fa_yoy_or($A30,O$1)</f>
        <v>8.7960999999999991</v>
      </c>
      <c r="P30" s="3">
        <f>[1]!s_fa_yoy_or($A30,P$1)</f>
        <v>9.2736999999999998</v>
      </c>
      <c r="Q30" s="3">
        <f>[1]!s_fa_yoy_or($A30,Q$1)</f>
        <v>1.3686</v>
      </c>
      <c r="R30" s="3">
        <f>[1]!s_fa_yoy_or($A30,R$1)</f>
        <v>31.509</v>
      </c>
      <c r="S30" s="3">
        <f>[1]!s_fa_yoy_or($A30,S$1)</f>
        <v>36.7151</v>
      </c>
      <c r="T30" s="3">
        <f>[1]!s_fa_yoy_or($A30,T$1)</f>
        <v>30.945399999999999</v>
      </c>
      <c r="U30" s="3">
        <f>[1]!s_fa_yoy_or($A30,U$1)</f>
        <v>36.748199999999997</v>
      </c>
      <c r="V30" s="3">
        <f>[1]!s_fa_yoy_or($A30,V$1)</f>
        <v>20.521599999999999</v>
      </c>
      <c r="W30" s="3">
        <f>[1]!s_fa_yoy_or($A30,W$1)</f>
        <v>22.055199999999999</v>
      </c>
      <c r="X30" s="3">
        <f>[1]!s_fa_yoy_or($A30,X$1)</f>
        <v>24.480399999999999</v>
      </c>
      <c r="Y30" s="3">
        <f>[1]!s_fa_yoy_or($A30,Y$1)</f>
        <v>15.7904</v>
      </c>
    </row>
    <row r="31" spans="1:25">
      <c r="A31" s="8" t="s">
        <v>29</v>
      </c>
      <c r="B31" s="8" t="s">
        <v>72</v>
      </c>
      <c r="C31" s="3" t="str">
        <f ca="1">[1]!s_fa_yoy_or($A31,C$1)</f>
        <v>#N/A</v>
      </c>
      <c r="D31" s="3">
        <f>[1]!s_fa_yoy_or($A31,D$1)</f>
        <v>24.6736</v>
      </c>
      <c r="E31" s="3">
        <f>[1]!s_fa_yoy_or($A31,E$1)</f>
        <v>28.488499999999998</v>
      </c>
      <c r="F31" s="3">
        <f>[1]!s_fa_yoy_or($A31,F$1)</f>
        <v>-21.716000000000001</v>
      </c>
      <c r="G31" s="3" t="str">
        <f>[1]!s_fa_yoy_or($A31,G$1)</f>
        <v>#N/A</v>
      </c>
      <c r="H31" s="3" t="str">
        <f>[1]!s_fa_yoy_or($A31,H$1)</f>
        <v>#N/A</v>
      </c>
      <c r="I31" s="3" t="str">
        <f>[1]!s_fa_yoy_or($A31,I$1)</f>
        <v>#N/A</v>
      </c>
      <c r="J31" s="3" t="str">
        <f>[1]!s_fa_yoy_or($A31,J$1)</f>
        <v>#N/A</v>
      </c>
      <c r="K31" s="3" t="str">
        <f>[1]!s_fa_yoy_or($A31,K$1)</f>
        <v>#N/A</v>
      </c>
      <c r="L31" s="3" t="str">
        <f>[1]!s_fa_yoy_or($A31,L$1)</f>
        <v>#N/A</v>
      </c>
      <c r="M31" s="3" t="str">
        <f>[1]!s_fa_yoy_or($A31,M$1)</f>
        <v>#N/A</v>
      </c>
      <c r="N31" s="3" t="str">
        <f>[1]!s_fa_yoy_or($A31,N$1)</f>
        <v>#N/A</v>
      </c>
      <c r="O31" s="3" t="str">
        <f>[1]!s_fa_yoy_or($A31,O$1)</f>
        <v>#N/A</v>
      </c>
      <c r="P31" s="3" t="str">
        <f>[1]!s_fa_yoy_or($A31,P$1)</f>
        <v>#N/A</v>
      </c>
      <c r="Q31" s="3" t="str">
        <f>[1]!s_fa_yoy_or($A31,Q$1)</f>
        <v>#N/A</v>
      </c>
      <c r="R31" s="3" t="str">
        <f>[1]!s_fa_yoy_or($A31,R$1)</f>
        <v>#N/A</v>
      </c>
      <c r="S31" s="3" t="str">
        <f>[1]!s_fa_yoy_or($A31,S$1)</f>
        <v>#N/A</v>
      </c>
      <c r="T31" s="3" t="str">
        <f>[1]!s_fa_yoy_or($A31,T$1)</f>
        <v>#N/A</v>
      </c>
      <c r="U31" s="3" t="str">
        <f>[1]!s_fa_yoy_or($A31,U$1)</f>
        <v>#N/A</v>
      </c>
      <c r="V31" s="3" t="str">
        <f>[1]!s_fa_yoy_or($A31,V$1)</f>
        <v>#N/A</v>
      </c>
      <c r="W31" s="3" t="str">
        <f>[1]!s_fa_yoy_or($A31,W$1)</f>
        <v>#N/A</v>
      </c>
      <c r="X31" s="3" t="str">
        <f>[1]!s_fa_yoy_or($A31,X$1)</f>
        <v>#N/A</v>
      </c>
      <c r="Y31" s="3" t="str">
        <f>[1]!s_fa_yoy_or($A31,Y$1)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B1" display="营收同比" xr:uid="{A150594B-22DB-E643-B138-0EF0AC437EDA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2F0F8-AB24-A542-BEEA-DDFBC05C3C83}">
  <sheetPr codeName="Sheet3"/>
  <dimension ref="A1:Y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32" sqref="G32"/>
    </sheetView>
  </sheetViews>
  <sheetFormatPr baseColWidth="10" defaultRowHeight="16"/>
  <cols>
    <col min="3" max="3" width="12" bestFit="1" customWidth="1"/>
    <col min="4" max="4" width="12.5" bestFit="1" customWidth="1"/>
    <col min="5" max="25" width="12.1640625" bestFit="1" customWidth="1"/>
  </cols>
  <sheetData>
    <row r="1" spans="1:25">
      <c r="A1" s="6" t="s">
        <v>32</v>
      </c>
      <c r="B1" s="14">
        <f ca="1">TODAY()</f>
        <v>44440</v>
      </c>
      <c r="C1" s="4">
        <f ca="1">[1]!TDays("2016-01-01",B1,"Days=Alldays","Period=Q","Direction=H","Order=D","cols=23;rows=1")</f>
        <v>44440</v>
      </c>
      <c r="D1" s="2">
        <v>44377</v>
      </c>
      <c r="E1" s="2">
        <v>44286</v>
      </c>
      <c r="F1" s="2">
        <v>44196</v>
      </c>
      <c r="G1" s="2">
        <v>44104</v>
      </c>
      <c r="H1" s="2">
        <v>44012</v>
      </c>
      <c r="I1" s="2">
        <v>43921</v>
      </c>
      <c r="J1" s="2">
        <v>43830</v>
      </c>
      <c r="K1" s="2">
        <v>43738</v>
      </c>
      <c r="L1" s="2">
        <v>43646</v>
      </c>
      <c r="M1" s="2">
        <v>43555</v>
      </c>
      <c r="N1" s="2">
        <v>43465</v>
      </c>
      <c r="O1" s="2">
        <v>43373</v>
      </c>
      <c r="P1" s="2">
        <v>43281</v>
      </c>
      <c r="Q1" s="2">
        <v>43190</v>
      </c>
      <c r="R1" s="2">
        <v>43100</v>
      </c>
      <c r="S1" s="2">
        <v>43008</v>
      </c>
      <c r="T1" s="2">
        <v>42916</v>
      </c>
      <c r="U1" s="2">
        <v>42825</v>
      </c>
      <c r="V1" s="2">
        <v>42735</v>
      </c>
      <c r="W1" s="2">
        <v>42643</v>
      </c>
      <c r="X1" s="2">
        <v>42551</v>
      </c>
      <c r="Y1" s="2">
        <v>42460</v>
      </c>
    </row>
    <row r="2" spans="1:25">
      <c r="A2" s="1" t="s">
        <v>0</v>
      </c>
      <c r="B2" s="1" t="s">
        <v>43</v>
      </c>
      <c r="C2" s="3" t="str">
        <f ca="1">[1]!s_fa_yoynetprofit($A2,C$1)</f>
        <v>#N/A</v>
      </c>
      <c r="D2" s="3">
        <f>[1]!s_fa_yoynetprofit($A2,D$1)</f>
        <v>428.47910000000002</v>
      </c>
      <c r="E2" s="3">
        <f>[1]!s_fa_yoynetprofit($A2,E$1)</f>
        <v>296.44670000000002</v>
      </c>
      <c r="F2" s="3">
        <f>[1]!s_fa_yoynetprofit($A2,F$1)</f>
        <v>-35.396000000000001</v>
      </c>
      <c r="G2" s="3">
        <f>[1]!s_fa_yoynetprofit($A2,G$1)</f>
        <v>-43.913400000000003</v>
      </c>
      <c r="H2" s="3">
        <f>[1]!s_fa_yoynetprofit($A2,H$1)</f>
        <v>-150.94900000000001</v>
      </c>
      <c r="I2" s="3">
        <f>[1]!s_fa_yoynetprofit($A2,I$1)</f>
        <v>-203.6961</v>
      </c>
      <c r="J2" s="3">
        <f>[1]!s_fa_yoynetprofit($A2,J$1)</f>
        <v>-4.6577999999999999</v>
      </c>
      <c r="K2" s="3">
        <f>[1]!s_fa_yoynetprofit($A2,K$1)</f>
        <v>-22.6342</v>
      </c>
      <c r="L2" s="3">
        <f>[1]!s_fa_yoynetprofit($A2,L$1)</f>
        <v>-13.294700000000001</v>
      </c>
      <c r="M2" s="3">
        <f>[1]!s_fa_yoynetprofit($A2,M$1)</f>
        <v>-14.879899999999999</v>
      </c>
      <c r="N2" s="3">
        <f>[1]!s_fa_yoynetprofit($A2,N$1)</f>
        <v>59.872900000000001</v>
      </c>
      <c r="O2" s="3">
        <f>[1]!s_fa_yoynetprofit($A2,O$1)</f>
        <v>92.049199999999999</v>
      </c>
      <c r="P2" s="3">
        <f>[1]!s_fa_yoynetprofit($A2,P$1)</f>
        <v>73.825699999999998</v>
      </c>
      <c r="Q2" s="3">
        <f>[1]!s_fa_yoynetprofit($A2,Q$1)</f>
        <v>32.919199999999996</v>
      </c>
      <c r="R2" s="3">
        <f>[1]!s_fa_yoynetprofit($A2,R$1)</f>
        <v>56.174300000000002</v>
      </c>
      <c r="S2" s="3">
        <f>[1]!s_fa_yoynetprofit($A2,S$1)</f>
        <v>112.94459999999999</v>
      </c>
      <c r="T2" s="3">
        <f>[1]!s_fa_yoynetprofit($A2,T$1)</f>
        <v>164.0001</v>
      </c>
      <c r="U2" s="3">
        <f>[1]!s_fa_yoynetprofit($A2,U$1)</f>
        <v>568.76589999999999</v>
      </c>
      <c r="V2" s="3">
        <f>[1]!s_fa_yoynetprofit($A2,V$1)</f>
        <v>-25.518699999999999</v>
      </c>
      <c r="W2" s="3">
        <f>[1]!s_fa_yoynetprofit($A2,W$1)</f>
        <v>-49.909399999999998</v>
      </c>
      <c r="X2" s="3">
        <f>[1]!s_fa_yoynetprofit($A2,X$1)</f>
        <v>-68.287499999999994</v>
      </c>
      <c r="Y2" s="3">
        <f>[1]!s_fa_yoynetprofit($A2,Y$1)</f>
        <v>-157.84360000000001</v>
      </c>
    </row>
    <row r="3" spans="1:25">
      <c r="A3" s="1" t="s">
        <v>1</v>
      </c>
      <c r="B3" s="1" t="s">
        <v>44</v>
      </c>
      <c r="C3" s="3" t="str">
        <f ca="1">[1]!s_fa_yoynetprofit($A3,C$1)</f>
        <v>#N/A</v>
      </c>
      <c r="D3" s="3">
        <f>[1]!s_fa_yoynetprofit($A3,D$1)</f>
        <v>64.678100000000001</v>
      </c>
      <c r="E3" s="3">
        <f>[1]!s_fa_yoynetprofit($A3,E$1)</f>
        <v>61.634700000000002</v>
      </c>
      <c r="F3" s="3">
        <f>[1]!s_fa_yoynetprofit($A3,F$1)</f>
        <v>-4.2213000000000003</v>
      </c>
      <c r="G3" s="3">
        <f>[1]!s_fa_yoynetprofit($A3,G$1)</f>
        <v>-13.0166</v>
      </c>
      <c r="H3" s="3">
        <f>[1]!s_fa_yoynetprofit($A3,H$1)</f>
        <v>-21.206700000000001</v>
      </c>
      <c r="I3" s="3">
        <f>[1]!s_fa_yoynetprofit($A3,I$1)</f>
        <v>-28.151399999999999</v>
      </c>
      <c r="J3" s="3">
        <f>[1]!s_fa_yoynetprofit($A3,J$1)</f>
        <v>-0.95099999999999996</v>
      </c>
      <c r="K3" s="3">
        <f>[1]!s_fa_yoynetprofit($A3,K$1)</f>
        <v>5.5556999999999999</v>
      </c>
      <c r="L3" s="3">
        <f>[1]!s_fa_yoynetprofit($A3,L$1)</f>
        <v>4.7127999999999997</v>
      </c>
      <c r="M3" s="3">
        <f>[1]!s_fa_yoynetprofit($A3,M$1)</f>
        <v>4.3022999999999998</v>
      </c>
      <c r="N3" s="3">
        <f>[1]!s_fa_yoynetprofit($A3,N$1)</f>
        <v>7.6364999999999998</v>
      </c>
      <c r="O3" s="3">
        <f>[1]!s_fa_yoynetprofit($A3,O$1)</f>
        <v>11.047599999999999</v>
      </c>
      <c r="P3" s="3">
        <f>[1]!s_fa_yoynetprofit($A3,P$1)</f>
        <v>9.4938000000000002</v>
      </c>
      <c r="Q3" s="3">
        <f>[1]!s_fa_yoynetprofit($A3,Q$1)</f>
        <v>6.7141999999999999</v>
      </c>
      <c r="R3" s="3">
        <f>[1]!s_fa_yoynetprofit($A3,R$1)</f>
        <v>157.2329</v>
      </c>
      <c r="S3" s="3">
        <f>[1]!s_fa_yoynetprofit($A3,S$1)</f>
        <v>246.24510000000001</v>
      </c>
      <c r="T3" s="3">
        <f>[1]!s_fa_yoynetprofit($A3,T$1)</f>
        <v>344.45620000000002</v>
      </c>
      <c r="U3" s="3">
        <f>[1]!s_fa_yoynetprofit($A3,U$1)</f>
        <v>513.94460000000004</v>
      </c>
      <c r="V3" s="3">
        <f>[1]!s_fa_yoynetprofit($A3,V$1)</f>
        <v>893.0607</v>
      </c>
      <c r="W3" s="3">
        <f>[1]!s_fa_yoynetprofit($A3,W$1)</f>
        <v>151.774</v>
      </c>
      <c r="X3" s="3">
        <f>[1]!s_fa_yoynetprofit($A3,X$1)</f>
        <v>38.880600000000001</v>
      </c>
      <c r="Y3" s="3">
        <f>[1]!s_fa_yoynetprofit($A3,Y$1)</f>
        <v>-21.269500000000001</v>
      </c>
    </row>
    <row r="4" spans="1:25">
      <c r="A4" s="1" t="s">
        <v>2</v>
      </c>
      <c r="B4" s="1" t="s">
        <v>45</v>
      </c>
      <c r="C4" s="3" t="str">
        <f ca="1">[1]!s_fa_yoynetprofit($A4,C$1)</f>
        <v>#N/A</v>
      </c>
      <c r="D4" s="3">
        <f>[1]!s_fa_yoynetprofit($A4,D$1)</f>
        <v>260.52170000000001</v>
      </c>
      <c r="E4" s="3">
        <f>[1]!s_fa_yoynetprofit($A4,E$1)</f>
        <v>315.14800000000002</v>
      </c>
      <c r="F4" s="3">
        <f>[1]!s_fa_yoynetprofit($A4,F$1)</f>
        <v>333.58980000000003</v>
      </c>
      <c r="G4" s="3">
        <f>[1]!s_fa_yoynetprofit($A4,G$1)</f>
        <v>-9.7814999999999994</v>
      </c>
      <c r="H4" s="3">
        <f>[1]!s_fa_yoynetprofit($A4,H$1)</f>
        <v>-32.2973</v>
      </c>
      <c r="I4" s="3">
        <f>[1]!s_fa_yoynetprofit($A4,I$1)</f>
        <v>-53.363500000000002</v>
      </c>
      <c r="J4" s="3">
        <f>[1]!s_fa_yoynetprofit($A4,J$1)</f>
        <v>-55.0154</v>
      </c>
      <c r="K4" s="3">
        <f>[1]!s_fa_yoynetprofit($A4,K$1)</f>
        <v>-25.260899999999999</v>
      </c>
      <c r="L4" s="3">
        <f>[1]!s_fa_yoynetprofit($A4,L$1)</f>
        <v>-30.303100000000001</v>
      </c>
      <c r="M4" s="3">
        <f>[1]!s_fa_yoynetprofit($A4,M$1)</f>
        <v>-36.101900000000001</v>
      </c>
      <c r="N4" s="3">
        <f>[1]!s_fa_yoynetprofit($A4,N$1)</f>
        <v>-59.185699999999997</v>
      </c>
      <c r="O4" s="3">
        <f>[1]!s_fa_yoynetprofit($A4,O$1)</f>
        <v>6.7237999999999998</v>
      </c>
      <c r="P4" s="3">
        <f>[1]!s_fa_yoynetprofit($A4,P$1)</f>
        <v>30.7849</v>
      </c>
      <c r="Q4" s="3">
        <f>[1]!s_fa_yoynetprofit($A4,Q$1)</f>
        <v>37.297199999999997</v>
      </c>
      <c r="R4" s="3">
        <f>[1]!s_fa_yoynetprofit($A4,R$1)</f>
        <v>96.249700000000004</v>
      </c>
      <c r="S4" s="3">
        <f>[1]!s_fa_yoynetprofit($A4,S$1)</f>
        <v>101.6446</v>
      </c>
      <c r="T4" s="3">
        <f>[1]!s_fa_yoynetprofit($A4,T$1)</f>
        <v>111.30549999999999</v>
      </c>
      <c r="U4" s="3">
        <f>[1]!s_fa_yoynetprofit($A4,U$1)</f>
        <v>202.35830000000001</v>
      </c>
      <c r="V4" s="3">
        <f>[1]!s_fa_yoynetprofit($A4,V$1)</f>
        <v>502.89400000000001</v>
      </c>
      <c r="W4" s="3">
        <f>[1]!s_fa_yoynetprofit($A4,W$1)</f>
        <v>133.74700000000001</v>
      </c>
      <c r="X4" s="3">
        <f>[1]!s_fa_yoynetprofit($A4,X$1)</f>
        <v>23.990300000000001</v>
      </c>
      <c r="Y4" s="3">
        <f>[1]!s_fa_yoynetprofit($A4,Y$1)</f>
        <v>28.6816</v>
      </c>
    </row>
    <row r="5" spans="1:25">
      <c r="A5" s="1" t="s">
        <v>3</v>
      </c>
      <c r="B5" s="1" t="s">
        <v>46</v>
      </c>
      <c r="C5" s="3" t="str">
        <f ca="1">[1]!s_fa_yoynetprofit($A5,C$1)</f>
        <v>#N/A</v>
      </c>
      <c r="D5" s="3">
        <f>[1]!s_fa_yoynetprofit($A5,D$1)</f>
        <v>1.8143</v>
      </c>
      <c r="E5" s="3">
        <f>[1]!s_fa_yoynetprofit($A5,E$1)</f>
        <v>48.988599999999998</v>
      </c>
      <c r="F5" s="3">
        <f>[1]!s_fa_yoynetprofit($A5,F$1)</f>
        <v>21.622499999999999</v>
      </c>
      <c r="G5" s="3">
        <f>[1]!s_fa_yoynetprofit($A5,G$1)</f>
        <v>19.945799999999998</v>
      </c>
      <c r="H5" s="3">
        <f>[1]!s_fa_yoynetprofit($A5,H$1)</f>
        <v>6.2602000000000002</v>
      </c>
      <c r="I5" s="3">
        <f>[1]!s_fa_yoynetprofit($A5,I$1)</f>
        <v>-28.921700000000001</v>
      </c>
      <c r="J5" s="3">
        <f>[1]!s_fa_yoynetprofit($A5,J$1)</f>
        <v>10.6244</v>
      </c>
      <c r="K5" s="3">
        <f>[1]!s_fa_yoynetprofit($A5,K$1)</f>
        <v>14.1942</v>
      </c>
      <c r="L5" s="3">
        <f>[1]!s_fa_yoynetprofit($A5,L$1)</f>
        <v>13.117900000000001</v>
      </c>
      <c r="M5" s="3">
        <f>[1]!s_fa_yoynetprofit($A5,M$1)</f>
        <v>19.151900000000001</v>
      </c>
      <c r="N5" s="3">
        <f>[1]!s_fa_yoynetprofit($A5,N$1)</f>
        <v>-5.1429999999999998</v>
      </c>
      <c r="O5" s="3">
        <f>[1]!s_fa_yoynetprofit($A5,O$1)</f>
        <v>2.6379000000000001</v>
      </c>
      <c r="P5" s="3">
        <f>[1]!s_fa_yoynetprofit($A5,P$1)</f>
        <v>14.634600000000001</v>
      </c>
      <c r="Q5" s="3">
        <f>[1]!s_fa_yoynetprofit($A5,Q$1)</f>
        <v>16.363</v>
      </c>
      <c r="R5" s="3">
        <f>[1]!s_fa_yoynetprofit($A5,R$1)</f>
        <v>-26.1313</v>
      </c>
      <c r="S5" s="3">
        <f>[1]!s_fa_yoynetprofit($A5,S$1)</f>
        <v>-22.949100000000001</v>
      </c>
      <c r="T5" s="3">
        <f>[1]!s_fa_yoynetprofit($A5,T$1)</f>
        <v>-36.381399999999999</v>
      </c>
      <c r="U5" s="3">
        <f>[1]!s_fa_yoynetprofit($A5,U$1)</f>
        <v>-40.0518</v>
      </c>
      <c r="V5" s="3">
        <f>[1]!s_fa_yoynetprofit($A5,V$1)</f>
        <v>-15.8901</v>
      </c>
      <c r="W5" s="3">
        <f>[1]!s_fa_yoynetprofit($A5,W$1)</f>
        <v>-17.568200000000001</v>
      </c>
      <c r="X5" s="3">
        <f>[1]!s_fa_yoynetprofit($A5,X$1)</f>
        <v>-12.626300000000001</v>
      </c>
      <c r="Y5" s="3">
        <f>[1]!s_fa_yoynetprofit($A5,Y$1)</f>
        <v>-7.9603999999999999</v>
      </c>
    </row>
    <row r="6" spans="1:25">
      <c r="A6" s="1" t="s">
        <v>4</v>
      </c>
      <c r="B6" s="1" t="s">
        <v>47</v>
      </c>
      <c r="C6" s="3" t="str">
        <f ca="1">[1]!s_fa_yoynetprofit($A6,C$1)</f>
        <v>#N/A</v>
      </c>
      <c r="D6" s="3">
        <f>[1]!s_fa_yoynetprofit($A6,D$1)</f>
        <v>236.91650000000001</v>
      </c>
      <c r="E6" s="3">
        <f>[1]!s_fa_yoynetprofit($A6,E$1)</f>
        <v>248.60210000000001</v>
      </c>
      <c r="F6" s="3">
        <f>[1]!s_fa_yoynetprofit($A6,F$1)</f>
        <v>-2.2856999999999998</v>
      </c>
      <c r="G6" s="3">
        <f>[1]!s_fa_yoynetprofit($A6,G$1)</f>
        <v>-14.791</v>
      </c>
      <c r="H6" s="3">
        <f>[1]!s_fa_yoynetprofit($A6,H$1)</f>
        <v>-36.221299999999999</v>
      </c>
      <c r="I6" s="3">
        <f>[1]!s_fa_yoynetprofit($A6,I$1)</f>
        <v>-44.917200000000001</v>
      </c>
      <c r="J6" s="3">
        <f>[1]!s_fa_yoynetprofit($A6,J$1)</f>
        <v>-42.507100000000001</v>
      </c>
      <c r="K6" s="3">
        <f>[1]!s_fa_yoynetprofit($A6,K$1)</f>
        <v>-43.532699999999998</v>
      </c>
      <c r="L6" s="3">
        <f>[1]!s_fa_yoynetprofit($A6,L$1)</f>
        <v>-36.921700000000001</v>
      </c>
      <c r="M6" s="3">
        <f>[1]!s_fa_yoynetprofit($A6,M$1)</f>
        <v>-43.077199999999998</v>
      </c>
      <c r="N6" s="3">
        <f>[1]!s_fa_yoynetprofit($A6,N$1)</f>
        <v>29.438300000000002</v>
      </c>
      <c r="O6" s="3">
        <f>[1]!s_fa_yoynetprofit($A6,O$1)</f>
        <v>69.763099999999994</v>
      </c>
      <c r="P6" s="3">
        <f>[1]!s_fa_yoynetprofit($A6,P$1)</f>
        <v>128.29320000000001</v>
      </c>
      <c r="Q6" s="3">
        <f>[1]!s_fa_yoynetprofit($A6,Q$1)</f>
        <v>90.5364</v>
      </c>
      <c r="R6" s="3">
        <f>[1]!s_fa_yoynetprofit($A6,R$1)</f>
        <v>717.21529999999996</v>
      </c>
      <c r="S6" s="3">
        <f>[1]!s_fa_yoynetprofit($A6,S$1)</f>
        <v>485.34129999999999</v>
      </c>
      <c r="T6" s="3">
        <f>[1]!s_fa_yoynetprofit($A6,T$1)</f>
        <v>517.76009999999997</v>
      </c>
      <c r="U6" s="3">
        <f>[1]!s_fa_yoynetprofit($A6,U$1)</f>
        <v>404.75360000000001</v>
      </c>
      <c r="V6" s="3">
        <f>[1]!s_fa_yoynetprofit($A6,V$1)</f>
        <v>115.51390000000001</v>
      </c>
      <c r="W6" s="3">
        <f>[1]!s_fa_yoynetprofit($A6,W$1)</f>
        <v>139.96510000000001</v>
      </c>
      <c r="X6" s="3">
        <f>[1]!s_fa_yoynetprofit($A6,X$1)</f>
        <v>178.59700000000001</v>
      </c>
      <c r="Y6" s="3">
        <f>[1]!s_fa_yoynetprofit($A6,Y$1)</f>
        <v>-115.5526</v>
      </c>
    </row>
    <row r="7" spans="1:25">
      <c r="A7" s="1" t="s">
        <v>5</v>
      </c>
      <c r="B7" s="1" t="s">
        <v>48</v>
      </c>
      <c r="C7" s="3" t="str">
        <f ca="1">[1]!s_fa_yoynetprofit($A7,C$1)</f>
        <v>#N/A</v>
      </c>
      <c r="D7" s="3">
        <f>[1]!s_fa_yoynetprofit($A7,D$1)</f>
        <v>157.62200000000001</v>
      </c>
      <c r="E7" s="3">
        <f>[1]!s_fa_yoynetprofit($A7,E$1)</f>
        <v>226.2295</v>
      </c>
      <c r="F7" s="3">
        <f>[1]!s_fa_yoynetprofit($A7,F$1)</f>
        <v>209.3827</v>
      </c>
      <c r="G7" s="3">
        <f>[1]!s_fa_yoynetprofit($A7,G$1)</f>
        <v>-13.9412</v>
      </c>
      <c r="H7" s="3">
        <f>[1]!s_fa_yoynetprofit($A7,H$1)</f>
        <v>-27.6952</v>
      </c>
      <c r="I7" s="3">
        <f>[1]!s_fa_yoynetprofit($A7,I$1)</f>
        <v>-43.472799999999999</v>
      </c>
      <c r="J7" s="3">
        <f>[1]!s_fa_yoynetprofit($A7,J$1)</f>
        <v>-87.766400000000004</v>
      </c>
      <c r="K7" s="3">
        <f>[1]!s_fa_yoynetprofit($A7,K$1)</f>
        <v>-26.878299999999999</v>
      </c>
      <c r="L7" s="3">
        <f>[1]!s_fa_yoynetprofit($A7,L$1)</f>
        <v>-23.885100000000001</v>
      </c>
      <c r="M7" s="3">
        <f>[1]!s_fa_yoynetprofit($A7,M$1)</f>
        <v>-24.991800000000001</v>
      </c>
      <c r="N7" s="3">
        <f>[1]!s_fa_yoynetprofit($A7,N$1)</f>
        <v>18.0563</v>
      </c>
      <c r="O7" s="3">
        <f>[1]!s_fa_yoynetprofit($A7,O$1)</f>
        <v>31.3751</v>
      </c>
      <c r="P7" s="3">
        <f>[1]!s_fa_yoynetprofit($A7,P$1)</f>
        <v>40.250500000000002</v>
      </c>
      <c r="Q7" s="3">
        <f>[1]!s_fa_yoynetprofit($A7,Q$1)</f>
        <v>33.231499999999997</v>
      </c>
      <c r="R7" s="3">
        <f>[1]!s_fa_yoynetprofit($A7,R$1)</f>
        <v>47.594700000000003</v>
      </c>
      <c r="S7" s="3">
        <f>[1]!s_fa_yoynetprofit($A7,S$1)</f>
        <v>80.4482</v>
      </c>
      <c r="T7" s="3">
        <f>[1]!s_fa_yoynetprofit($A7,T$1)</f>
        <v>81.0505</v>
      </c>
      <c r="U7" s="3">
        <f>[1]!s_fa_yoynetprofit($A7,U$1)</f>
        <v>112.1365</v>
      </c>
      <c r="V7" s="3">
        <f>[1]!s_fa_yoynetprofit($A7,V$1)</f>
        <v>-34.266399999999997</v>
      </c>
      <c r="W7" s="3">
        <f>[1]!s_fa_yoynetprofit($A7,W$1)</f>
        <v>-13.1053</v>
      </c>
      <c r="X7" s="3">
        <f>[1]!s_fa_yoynetprofit($A7,X$1)</f>
        <v>-2.5512000000000001</v>
      </c>
      <c r="Y7" s="3">
        <f>[1]!s_fa_yoynetprofit($A7,Y$1)</f>
        <v>-10.4955</v>
      </c>
    </row>
    <row r="8" spans="1:25">
      <c r="A8" s="1" t="s">
        <v>6</v>
      </c>
      <c r="B8" s="1" t="s">
        <v>49</v>
      </c>
      <c r="C8" s="3" t="str">
        <f ca="1">[1]!s_fa_yoynetprofit($A8,C$1)</f>
        <v>#N/A</v>
      </c>
      <c r="D8" s="3">
        <f>[1]!s_fa_yoynetprofit($A8,D$1)</f>
        <v>32.9345</v>
      </c>
      <c r="E8" s="3">
        <f>[1]!s_fa_yoynetprofit($A8,E$1)</f>
        <v>71.797799999999995</v>
      </c>
      <c r="F8" s="3">
        <f>[1]!s_fa_yoynetprofit($A8,F$1)</f>
        <v>3.5461</v>
      </c>
      <c r="G8" s="3">
        <f>[1]!s_fa_yoynetprofit($A8,G$1)</f>
        <v>-0.28179999999999999</v>
      </c>
      <c r="H8" s="3">
        <f>[1]!s_fa_yoynetprofit($A8,H$1)</f>
        <v>-8.3505000000000003</v>
      </c>
      <c r="I8" s="3">
        <f>[1]!s_fa_yoynetprofit($A8,I$1)</f>
        <v>-27.1371</v>
      </c>
      <c r="J8" s="3">
        <f>[1]!s_fa_yoynetprofit($A8,J$1)</f>
        <v>4.3140000000000001</v>
      </c>
      <c r="K8" s="3">
        <f>[1]!s_fa_yoynetprofit($A8,K$1)</f>
        <v>7.8212999999999999</v>
      </c>
      <c r="L8" s="3">
        <f>[1]!s_fa_yoynetprofit($A8,L$1)</f>
        <v>4.7530000000000001</v>
      </c>
      <c r="M8" s="3">
        <f>[1]!s_fa_yoynetprofit($A8,M$1)</f>
        <v>13.823499999999999</v>
      </c>
      <c r="N8" s="3">
        <f>[1]!s_fa_yoynetprofit($A8,N$1)</f>
        <v>6.5773000000000001</v>
      </c>
      <c r="O8" s="3">
        <f>[1]!s_fa_yoynetprofit($A8,O$1)</f>
        <v>10.669499999999999</v>
      </c>
      <c r="P8" s="3">
        <f>[1]!s_fa_yoynetprofit($A8,P$1)</f>
        <v>13.363899999999999</v>
      </c>
      <c r="Q8" s="3">
        <f>[1]!s_fa_yoynetprofit($A8,Q$1)</f>
        <v>15.0084</v>
      </c>
      <c r="R8" s="3">
        <f>[1]!s_fa_yoynetprofit($A8,R$1)</f>
        <v>18.428899999999999</v>
      </c>
      <c r="S8" s="3">
        <f>[1]!s_fa_yoynetprofit($A8,S$1)</f>
        <v>11.185700000000001</v>
      </c>
      <c r="T8" s="3">
        <f>[1]!s_fa_yoynetprofit($A8,T$1)</f>
        <v>16.055900000000001</v>
      </c>
      <c r="U8" s="3">
        <f>[1]!s_fa_yoynetprofit($A8,U$1)</f>
        <v>12.862500000000001</v>
      </c>
      <c r="V8" s="3">
        <f>[1]!s_fa_yoynetprofit($A8,V$1)</f>
        <v>10.684799999999999</v>
      </c>
      <c r="W8" s="3">
        <f>[1]!s_fa_yoynetprofit($A8,W$1)</f>
        <v>16.417000000000002</v>
      </c>
      <c r="X8" s="3">
        <f>[1]!s_fa_yoynetprofit($A8,X$1)</f>
        <v>10.907</v>
      </c>
      <c r="Y8" s="3">
        <f>[1]!s_fa_yoynetprofit($A8,Y$1)</f>
        <v>11.6493</v>
      </c>
    </row>
    <row r="9" spans="1:25">
      <c r="A9" s="1" t="s">
        <v>7</v>
      </c>
      <c r="B9" s="1" t="s">
        <v>50</v>
      </c>
      <c r="C9" s="3" t="str">
        <f ca="1">[1]!s_fa_yoynetprofit($A9,C$1)</f>
        <v>#N/A</v>
      </c>
      <c r="D9" s="3">
        <f>[1]!s_fa_yoynetprofit($A9,D$1)</f>
        <v>30.5015</v>
      </c>
      <c r="E9" s="3">
        <f>[1]!s_fa_yoynetprofit($A9,E$1)</f>
        <v>94.100300000000004</v>
      </c>
      <c r="F9" s="3">
        <f>[1]!s_fa_yoynetprofit($A9,F$1)</f>
        <v>15.504799999999999</v>
      </c>
      <c r="G9" s="3">
        <f>[1]!s_fa_yoynetprofit($A9,G$1)</f>
        <v>5.8573000000000004</v>
      </c>
      <c r="H9" s="3">
        <f>[1]!s_fa_yoynetprofit($A9,H$1)</f>
        <v>0.15090000000000001</v>
      </c>
      <c r="I9" s="3">
        <f>[1]!s_fa_yoynetprofit($A9,I$1)</f>
        <v>-36.029000000000003</v>
      </c>
      <c r="J9" s="3">
        <f>[1]!s_fa_yoynetprofit($A9,J$1)</f>
        <v>4.2428999999999997</v>
      </c>
      <c r="K9" s="3">
        <f>[1]!s_fa_yoynetprofit($A9,K$1)</f>
        <v>7.3887</v>
      </c>
      <c r="L9" s="3">
        <f>[1]!s_fa_yoynetprofit($A9,L$1)</f>
        <v>6.2935999999999996</v>
      </c>
      <c r="M9" s="3">
        <f>[1]!s_fa_yoynetprofit($A9,M$1)</f>
        <v>14.660299999999999</v>
      </c>
      <c r="N9" s="3">
        <f>[1]!s_fa_yoynetprofit($A9,N$1)</f>
        <v>64.032799999999995</v>
      </c>
      <c r="O9" s="3">
        <f>[1]!s_fa_yoynetprofit($A9,O$1)</f>
        <v>82.456999999999994</v>
      </c>
      <c r="P9" s="3">
        <f>[1]!s_fa_yoynetprofit($A9,P$1)</f>
        <v>103.1246</v>
      </c>
      <c r="Q9" s="3">
        <f>[1]!s_fa_yoynetprofit($A9,Q$1)</f>
        <v>193.77010000000001</v>
      </c>
      <c r="R9" s="3">
        <f>[1]!s_fa_yoynetprofit($A9,R$1)</f>
        <v>89.367099999999994</v>
      </c>
      <c r="S9" s="3">
        <f>[1]!s_fa_yoynetprofit($A9,S$1)</f>
        <v>85.676000000000002</v>
      </c>
      <c r="T9" s="3">
        <f>[1]!s_fa_yoynetprofit($A9,T$1)</f>
        <v>111.09520000000001</v>
      </c>
      <c r="U9" s="3">
        <f>[1]!s_fa_yoynetprofit($A9,U$1)</f>
        <v>318.47149999999999</v>
      </c>
      <c r="V9" s="3">
        <f>[1]!s_fa_yoynetprofit($A9,V$1)</f>
        <v>69.066000000000003</v>
      </c>
      <c r="W9" s="3">
        <f>[1]!s_fa_yoynetprofit($A9,W$1)</f>
        <v>28.852499999999999</v>
      </c>
      <c r="X9" s="3">
        <f>[1]!s_fa_yoynetprofit($A9,X$1)</f>
        <v>-14.979200000000001</v>
      </c>
      <c r="Y9" s="3">
        <f>[1]!s_fa_yoynetprofit($A9,Y$1)</f>
        <v>-38.314700000000002</v>
      </c>
    </row>
    <row r="10" spans="1:25">
      <c r="A10" s="1" t="s">
        <v>8</v>
      </c>
      <c r="B10" s="1" t="s">
        <v>51</v>
      </c>
      <c r="C10" s="3" t="str">
        <f ca="1">[1]!s_fa_yoynetprofit($A10,C$1)</f>
        <v>#N/A</v>
      </c>
      <c r="D10" s="3">
        <f>[1]!s_fa_yoynetprofit($A10,D$1)</f>
        <v>74.182900000000004</v>
      </c>
      <c r="E10" s="3">
        <f>[1]!s_fa_yoynetprofit($A10,E$1)</f>
        <v>139.31960000000001</v>
      </c>
      <c r="F10" s="3">
        <f>[1]!s_fa_yoynetprofit($A10,F$1)</f>
        <v>7.3086000000000002</v>
      </c>
      <c r="G10" s="3">
        <f>[1]!s_fa_yoynetprofit($A10,G$1)</f>
        <v>0.7429</v>
      </c>
      <c r="H10" s="3">
        <f>[1]!s_fa_yoynetprofit($A10,H$1)</f>
        <v>-6.7213000000000003</v>
      </c>
      <c r="I10" s="3">
        <f>[1]!s_fa_yoynetprofit($A10,I$1)</f>
        <v>-23.157599999999999</v>
      </c>
      <c r="J10" s="3">
        <f>[1]!s_fa_yoynetprofit($A10,J$1)</f>
        <v>2.3492000000000002</v>
      </c>
      <c r="K10" s="3">
        <f>[1]!s_fa_yoynetprofit($A10,K$1)</f>
        <v>-5.5795000000000003</v>
      </c>
      <c r="L10" s="3">
        <f>[1]!s_fa_yoynetprofit($A10,L$1)</f>
        <v>-13.4109</v>
      </c>
      <c r="M10" s="3">
        <f>[1]!s_fa_yoynetprofit($A10,M$1)</f>
        <v>-10.520899999999999</v>
      </c>
      <c r="N10" s="3">
        <f>[1]!s_fa_yoynetprofit($A10,N$1)</f>
        <v>-3.6855000000000002</v>
      </c>
      <c r="O10" s="3">
        <f>[1]!s_fa_yoynetprofit($A10,O$1)</f>
        <v>14.5312</v>
      </c>
      <c r="P10" s="3">
        <f>[1]!s_fa_yoynetprofit($A10,P$1)</f>
        <v>19.729900000000001</v>
      </c>
      <c r="Q10" s="3">
        <f>[1]!s_fa_yoynetprofit($A10,Q$1)</f>
        <v>6.7942999999999998</v>
      </c>
      <c r="R10" s="3">
        <f>[1]!s_fa_yoynetprofit($A10,R$1)</f>
        <v>62.992400000000004</v>
      </c>
      <c r="S10" s="3">
        <f>[1]!s_fa_yoynetprofit($A10,S$1)</f>
        <v>65.853399999999993</v>
      </c>
      <c r="T10" s="3">
        <f>[1]!s_fa_yoynetprofit($A10,T$1)</f>
        <v>68.742000000000004</v>
      </c>
      <c r="U10" s="3">
        <f>[1]!s_fa_yoynetprofit($A10,U$1)</f>
        <v>64.252399999999994</v>
      </c>
      <c r="V10" s="3">
        <f>[1]!s_fa_yoynetprofit($A10,V$1)</f>
        <v>32.0304</v>
      </c>
      <c r="W10" s="3">
        <f>[1]!s_fa_yoynetprofit($A10,W$1)</f>
        <v>38.117400000000004</v>
      </c>
      <c r="X10" s="3">
        <f>[1]!s_fa_yoynetprofit($A10,X$1)</f>
        <v>31.3215</v>
      </c>
      <c r="Y10" s="3">
        <f>[1]!s_fa_yoynetprofit($A10,Y$1)</f>
        <v>48.275100000000002</v>
      </c>
    </row>
    <row r="11" spans="1:25">
      <c r="A11" s="1" t="s">
        <v>9</v>
      </c>
      <c r="B11" s="1" t="s">
        <v>52</v>
      </c>
      <c r="C11" s="3" t="str">
        <f ca="1">[1]!s_fa_yoynetprofit($A11,C$1)</f>
        <v>#N/A</v>
      </c>
      <c r="D11" s="3">
        <f>[1]!s_fa_yoynetprofit($A11,D$1)</f>
        <v>46.300600000000003</v>
      </c>
      <c r="E11" s="3">
        <f>[1]!s_fa_yoynetprofit($A11,E$1)</f>
        <v>183.80879999999999</v>
      </c>
      <c r="F11" s="3">
        <f>[1]!s_fa_yoynetprofit($A11,F$1)</f>
        <v>44.231499999999997</v>
      </c>
      <c r="G11" s="3">
        <f>[1]!s_fa_yoynetprofit($A11,G$1)</f>
        <v>19.2425</v>
      </c>
      <c r="H11" s="3">
        <f>[1]!s_fa_yoynetprofit($A11,H$1)</f>
        <v>7.3773999999999997</v>
      </c>
      <c r="I11" s="3">
        <f>[1]!s_fa_yoynetprofit($A11,I$1)</f>
        <v>-45.882599999999996</v>
      </c>
      <c r="J11" s="3">
        <f>[1]!s_fa_yoynetprofit($A11,J$1)</f>
        <v>59.117600000000003</v>
      </c>
      <c r="K11" s="3">
        <f>[1]!s_fa_yoynetprofit($A11,K$1)</f>
        <v>24.348299999999998</v>
      </c>
      <c r="L11" s="3">
        <f>[1]!s_fa_yoynetprofit($A11,L$1)</f>
        <v>31.502700000000001</v>
      </c>
      <c r="M11" s="3">
        <f>[1]!s_fa_yoynetprofit($A11,M$1)</f>
        <v>29.160299999999999</v>
      </c>
      <c r="N11" s="3">
        <f>[1]!s_fa_yoynetprofit($A11,N$1)</f>
        <v>-59.302500000000002</v>
      </c>
      <c r="O11" s="3">
        <f>[1]!s_fa_yoynetprofit($A11,O$1)</f>
        <v>3.8144</v>
      </c>
      <c r="P11" s="3">
        <f>[1]!s_fa_yoynetprofit($A11,P$1)</f>
        <v>5.9554999999999998</v>
      </c>
      <c r="Q11" s="3">
        <f>[1]!s_fa_yoynetprofit($A11,Q$1)</f>
        <v>28.7516</v>
      </c>
      <c r="R11" s="3">
        <f>[1]!s_fa_yoynetprofit($A11,R$1)</f>
        <v>153.95140000000001</v>
      </c>
      <c r="S11" s="3">
        <f>[1]!s_fa_yoynetprofit($A11,S$1)</f>
        <v>81.483999999999995</v>
      </c>
      <c r="T11" s="3">
        <f>[1]!s_fa_yoynetprofit($A11,T$1)</f>
        <v>71.834900000000005</v>
      </c>
      <c r="U11" s="3">
        <f>[1]!s_fa_yoynetprofit($A11,U$1)</f>
        <v>50.600200000000001</v>
      </c>
      <c r="V11" s="3">
        <f>[1]!s_fa_yoynetprofit($A11,V$1)</f>
        <v>-19.5029</v>
      </c>
      <c r="W11" s="3">
        <f>[1]!s_fa_yoynetprofit($A11,W$1)</f>
        <v>-27.707599999999999</v>
      </c>
      <c r="X11" s="3">
        <f>[1]!s_fa_yoynetprofit($A11,X$1)</f>
        <v>-29.944199999999999</v>
      </c>
      <c r="Y11" s="3">
        <f>[1]!s_fa_yoynetprofit($A11,Y$1)</f>
        <v>-15.4237</v>
      </c>
    </row>
    <row r="12" spans="1:25">
      <c r="A12" s="1" t="s">
        <v>10</v>
      </c>
      <c r="B12" s="1" t="s">
        <v>53</v>
      </c>
      <c r="C12" s="3" t="str">
        <f ca="1">[1]!s_fa_yoynetprofit($A12,C$1)</f>
        <v>#N/A</v>
      </c>
      <c r="D12" s="3">
        <f>[1]!s_fa_yoynetprofit($A12,D$1)</f>
        <v>48.164999999999999</v>
      </c>
      <c r="E12" s="3">
        <f>[1]!s_fa_yoynetprofit($A12,E$1)</f>
        <v>163.0975</v>
      </c>
      <c r="F12" s="3">
        <f>[1]!s_fa_yoynetprofit($A12,F$1)</f>
        <v>55.522399999999998</v>
      </c>
      <c r="G12" s="3">
        <f>[1]!s_fa_yoynetprofit($A12,G$1)</f>
        <v>31.7011</v>
      </c>
      <c r="H12" s="3">
        <f>[1]!s_fa_yoynetprofit($A12,H$1)</f>
        <v>11.6637</v>
      </c>
      <c r="I12" s="3">
        <f>[1]!s_fa_yoynetprofit($A12,I$1)</f>
        <v>-16.420400000000001</v>
      </c>
      <c r="J12" s="3">
        <f>[1]!s_fa_yoynetprofit($A12,J$1)</f>
        <v>-15.801500000000001</v>
      </c>
      <c r="K12" s="3">
        <f>[1]!s_fa_yoynetprofit($A12,K$1)</f>
        <v>-1.8062</v>
      </c>
      <c r="L12" s="3">
        <f>[1]!s_fa_yoynetprofit($A12,L$1)</f>
        <v>-1.9618</v>
      </c>
      <c r="M12" s="3">
        <f>[1]!s_fa_yoynetprofit($A12,M$1)</f>
        <v>16.634799999999998</v>
      </c>
      <c r="N12" s="3">
        <f>[1]!s_fa_yoynetprofit($A12,N$1)</f>
        <v>-26.091799999999999</v>
      </c>
      <c r="O12" s="3">
        <f>[1]!s_fa_yoynetprofit($A12,O$1)</f>
        <v>-2.5009000000000001</v>
      </c>
      <c r="P12" s="3">
        <f>[1]!s_fa_yoynetprofit($A12,P$1)</f>
        <v>3.4506000000000001</v>
      </c>
      <c r="Q12" s="3">
        <f>[1]!s_fa_yoynetprofit($A12,Q$1)</f>
        <v>9.7324000000000002</v>
      </c>
      <c r="R12" s="3">
        <f>[1]!s_fa_yoynetprofit($A12,R$1)</f>
        <v>23.281600000000001</v>
      </c>
      <c r="S12" s="3">
        <f>[1]!s_fa_yoynetprofit($A12,S$1)</f>
        <v>21.2194</v>
      </c>
      <c r="T12" s="3">
        <f>[1]!s_fa_yoynetprofit($A12,T$1)</f>
        <v>11.999700000000001</v>
      </c>
      <c r="U12" s="3">
        <f>[1]!s_fa_yoynetprofit($A12,U$1)</f>
        <v>-11.395799999999999</v>
      </c>
      <c r="V12" s="3">
        <f>[1]!s_fa_yoynetprofit($A12,V$1)</f>
        <v>18.413900000000002</v>
      </c>
      <c r="W12" s="3">
        <f>[1]!s_fa_yoynetprofit($A12,W$1)</f>
        <v>22.007400000000001</v>
      </c>
      <c r="X12" s="3">
        <f>[1]!s_fa_yoynetprofit($A12,X$1)</f>
        <v>33.6708</v>
      </c>
      <c r="Y12" s="3">
        <f>[1]!s_fa_yoynetprofit($A12,Y$1)</f>
        <v>44.055599999999998</v>
      </c>
    </row>
    <row r="13" spans="1:25">
      <c r="A13" s="1" t="s">
        <v>11</v>
      </c>
      <c r="B13" s="1" t="s">
        <v>54</v>
      </c>
      <c r="C13" s="3" t="str">
        <f ca="1">[1]!s_fa_yoynetprofit($A13,C$1)</f>
        <v>#N/A</v>
      </c>
      <c r="D13" s="3">
        <f>[1]!s_fa_yoynetprofit($A13,D$1)</f>
        <v>2.6701000000000001</v>
      </c>
      <c r="E13" s="3">
        <f>[1]!s_fa_yoynetprofit($A13,E$1)</f>
        <v>-25.244199999999999</v>
      </c>
      <c r="F13" s="3">
        <f>[1]!s_fa_yoynetprofit($A13,F$1)</f>
        <v>50.696800000000003</v>
      </c>
      <c r="G13" s="3">
        <f>[1]!s_fa_yoynetprofit($A13,G$1)</f>
        <v>41.670400000000001</v>
      </c>
      <c r="H13" s="3">
        <f>[1]!s_fa_yoynetprofit($A13,H$1)</f>
        <v>34.024099999999997</v>
      </c>
      <c r="I13" s="3">
        <f>[1]!s_fa_yoynetprofit($A13,I$1)</f>
        <v>205.77510000000001</v>
      </c>
      <c r="J13" s="3">
        <f>[1]!s_fa_yoynetprofit($A13,J$1)</f>
        <v>28.253399999999999</v>
      </c>
      <c r="K13" s="3">
        <f>[1]!s_fa_yoynetprofit($A13,K$1)</f>
        <v>27.531700000000001</v>
      </c>
      <c r="L13" s="3">
        <f>[1]!s_fa_yoynetprofit($A13,L$1)</f>
        <v>59.1982</v>
      </c>
      <c r="M13" s="3">
        <f>[1]!s_fa_yoynetprofit($A13,M$1)</f>
        <v>91.651700000000005</v>
      </c>
      <c r="N13" s="3">
        <f>[1]!s_fa_yoynetprofit($A13,N$1)</f>
        <v>28.404800000000002</v>
      </c>
      <c r="O13" s="3">
        <f>[1]!s_fa_yoynetprofit($A13,O$1)</f>
        <v>21.065899999999999</v>
      </c>
      <c r="P13" s="3">
        <f>[1]!s_fa_yoynetprofit($A13,P$1)</f>
        <v>20.484999999999999</v>
      </c>
      <c r="Q13" s="3">
        <f>[1]!s_fa_yoynetprofit($A13,Q$1)</f>
        <v>9.1127000000000002</v>
      </c>
      <c r="R13" s="3">
        <f>[1]!s_fa_yoynetprofit($A13,R$1)</f>
        <v>-12.8401</v>
      </c>
      <c r="S13" s="3">
        <f>[1]!s_fa_yoynetprofit($A13,S$1)</f>
        <v>0.3841</v>
      </c>
      <c r="T13" s="3">
        <f>[1]!s_fa_yoynetprofit($A13,T$1)</f>
        <v>2.3107000000000002</v>
      </c>
      <c r="U13" s="3">
        <f>[1]!s_fa_yoynetprofit($A13,U$1)</f>
        <v>17.1859</v>
      </c>
      <c r="V13" s="3">
        <f>[1]!s_fa_yoynetprofit($A13,V$1)</f>
        <v>86.076700000000002</v>
      </c>
      <c r="W13" s="3">
        <f>[1]!s_fa_yoynetprofit($A13,W$1)</f>
        <v>70.751099999999994</v>
      </c>
      <c r="X13" s="3">
        <f>[1]!s_fa_yoynetprofit($A13,X$1)</f>
        <v>48.009799999999998</v>
      </c>
      <c r="Y13" s="3">
        <f>[1]!s_fa_yoynetprofit($A13,Y$1)</f>
        <v>25.675599999999999</v>
      </c>
    </row>
    <row r="14" spans="1:25">
      <c r="A14" s="1" t="s">
        <v>12</v>
      </c>
      <c r="B14" s="1" t="s">
        <v>55</v>
      </c>
      <c r="C14" s="3" t="str">
        <f ca="1">[1]!s_fa_yoynetprofit($A14,C$1)</f>
        <v>#N/A</v>
      </c>
      <c r="D14" s="3">
        <f>[1]!s_fa_yoynetprofit($A14,D$1)</f>
        <v>90.0792</v>
      </c>
      <c r="E14" s="3">
        <f>[1]!s_fa_yoynetprofit($A14,E$1)</f>
        <v>627.97270000000003</v>
      </c>
      <c r="F14" s="3">
        <f>[1]!s_fa_yoynetprofit($A14,F$1)</f>
        <v>-3.5238999999999998</v>
      </c>
      <c r="G14" s="3">
        <f>[1]!s_fa_yoynetprofit($A14,G$1)</f>
        <v>-5.2850999999999999</v>
      </c>
      <c r="H14" s="3">
        <f>[1]!s_fa_yoynetprofit($A14,H$1)</f>
        <v>-27.222100000000001</v>
      </c>
      <c r="I14" s="3">
        <f>[1]!s_fa_yoynetprofit($A14,I$1)</f>
        <v>-82.75</v>
      </c>
      <c r="J14" s="3">
        <f>[1]!s_fa_yoynetprofit($A14,J$1)</f>
        <v>-33.091099999999997</v>
      </c>
      <c r="K14" s="3">
        <f>[1]!s_fa_yoynetprofit($A14,K$1)</f>
        <v>-30.843499999999999</v>
      </c>
      <c r="L14" s="3">
        <f>[1]!s_fa_yoynetprofit($A14,L$1)</f>
        <v>-33.050199999999997</v>
      </c>
      <c r="M14" s="3">
        <f>[1]!s_fa_yoynetprofit($A14,M$1)</f>
        <v>-27.0928</v>
      </c>
      <c r="N14" s="3">
        <f>[1]!s_fa_yoynetprofit($A14,N$1)</f>
        <v>-19.2089</v>
      </c>
      <c r="O14" s="3">
        <f>[1]!s_fa_yoynetprofit($A14,O$1)</f>
        <v>9.4999999999999998E-3</v>
      </c>
      <c r="P14" s="3">
        <f>[1]!s_fa_yoynetprofit($A14,P$1)</f>
        <v>6.2141999999999999</v>
      </c>
      <c r="Q14" s="3">
        <f>[1]!s_fa_yoynetprofit($A14,Q$1)</f>
        <v>3.2517999999999998</v>
      </c>
      <c r="R14" s="3">
        <f>[1]!s_fa_yoynetprofit($A14,R$1)</f>
        <v>3.0430000000000001</v>
      </c>
      <c r="S14" s="3">
        <f>[1]!s_fa_yoynetprofit($A14,S$1)</f>
        <v>7.7476000000000003</v>
      </c>
      <c r="T14" s="3">
        <f>[1]!s_fa_yoynetprofit($A14,T$1)</f>
        <v>9.6515000000000004</v>
      </c>
      <c r="U14" s="3">
        <f>[1]!s_fa_yoynetprofit($A14,U$1)</f>
        <v>18.251200000000001</v>
      </c>
      <c r="V14" s="3">
        <f>[1]!s_fa_yoynetprofit($A14,V$1)</f>
        <v>18.0076</v>
      </c>
      <c r="W14" s="3">
        <f>[1]!s_fa_yoynetprofit($A14,W$1)</f>
        <v>18.1568</v>
      </c>
      <c r="X14" s="3">
        <f>[1]!s_fa_yoynetprofit($A14,X$1)</f>
        <v>13.216200000000001</v>
      </c>
      <c r="Y14" s="3">
        <f>[1]!s_fa_yoynetprofit($A14,Y$1)</f>
        <v>10.9863</v>
      </c>
    </row>
    <row r="15" spans="1:25">
      <c r="A15" s="1" t="s">
        <v>13</v>
      </c>
      <c r="B15" s="1" t="s">
        <v>56</v>
      </c>
      <c r="C15" s="3" t="str">
        <f ca="1">[1]!s_fa_yoynetprofit($A15,C$1)</f>
        <v>#N/A</v>
      </c>
      <c r="D15" s="3">
        <f>[1]!s_fa_yoynetprofit($A15,D$1)</f>
        <v>26.113099999999999</v>
      </c>
      <c r="E15" s="3">
        <f>[1]!s_fa_yoynetprofit($A15,E$1)</f>
        <v>174.7663</v>
      </c>
      <c r="F15" s="3">
        <f>[1]!s_fa_yoynetprofit($A15,F$1)</f>
        <v>-71.257999999999996</v>
      </c>
      <c r="G15" s="3">
        <f>[1]!s_fa_yoynetprofit($A15,G$1)</f>
        <v>-53.800600000000003</v>
      </c>
      <c r="H15" s="3">
        <f>[1]!s_fa_yoynetprofit($A15,H$1)</f>
        <v>-51.944099999999999</v>
      </c>
      <c r="I15" s="3">
        <f>[1]!s_fa_yoynetprofit($A15,I$1)</f>
        <v>-76.484399999999994</v>
      </c>
      <c r="J15" s="3">
        <f>[1]!s_fa_yoynetprofit($A15,J$1)</f>
        <v>-19.231300000000001</v>
      </c>
      <c r="K15" s="3">
        <f>[1]!s_fa_yoynetprofit($A15,K$1)</f>
        <v>4.8182</v>
      </c>
      <c r="L15" s="3">
        <f>[1]!s_fa_yoynetprofit($A15,L$1)</f>
        <v>-26.569400000000002</v>
      </c>
      <c r="M15" s="3">
        <f>[1]!s_fa_yoynetprofit($A15,M$1)</f>
        <v>-7.1028000000000002</v>
      </c>
      <c r="N15" s="3">
        <f>[1]!s_fa_yoynetprofit($A15,N$1)</f>
        <v>-9.4443000000000001</v>
      </c>
      <c r="O15" s="3">
        <f>[1]!s_fa_yoynetprofit($A15,O$1)</f>
        <v>32.0321</v>
      </c>
      <c r="P15" s="3">
        <f>[1]!s_fa_yoynetprofit($A15,P$1)</f>
        <v>43.426400000000001</v>
      </c>
      <c r="Q15" s="3">
        <f>[1]!s_fa_yoynetprofit($A15,Q$1)</f>
        <v>21.904499999999999</v>
      </c>
      <c r="R15" s="3">
        <f>[1]!s_fa_yoynetprofit($A15,R$1)</f>
        <v>33.392699999999998</v>
      </c>
      <c r="S15" s="3">
        <f>[1]!s_fa_yoynetprofit($A15,S$1)</f>
        <v>30.761399999999998</v>
      </c>
      <c r="T15" s="3">
        <f>[1]!s_fa_yoynetprofit($A15,T$1)</f>
        <v>20.7653</v>
      </c>
      <c r="U15" s="3">
        <f>[1]!s_fa_yoynetprofit($A15,U$1)</f>
        <v>32.693399999999997</v>
      </c>
      <c r="V15" s="3">
        <f>[1]!s_fa_yoynetprofit($A15,V$1)</f>
        <v>23.025400000000001</v>
      </c>
      <c r="W15" s="3">
        <f>[1]!s_fa_yoynetprofit($A15,W$1)</f>
        <v>4.0693000000000001</v>
      </c>
      <c r="X15" s="3">
        <f>[1]!s_fa_yoynetprofit($A15,X$1)</f>
        <v>-13.798299999999999</v>
      </c>
      <c r="Y15" s="3">
        <f>[1]!s_fa_yoynetprofit($A15,Y$1)</f>
        <v>-14.0076</v>
      </c>
    </row>
    <row r="16" spans="1:25">
      <c r="A16" s="1" t="s">
        <v>14</v>
      </c>
      <c r="B16" s="1" t="s">
        <v>57</v>
      </c>
      <c r="C16" s="3" t="str">
        <f ca="1">[1]!s_fa_yoynetprofit($A16,C$1)</f>
        <v>#N/A</v>
      </c>
      <c r="D16" s="3">
        <f>[1]!s_fa_yoynetprofit($A16,D$1)</f>
        <v>504.18220000000002</v>
      </c>
      <c r="E16" s="3">
        <f>[1]!s_fa_yoynetprofit($A16,E$1)</f>
        <v>248.06649999999999</v>
      </c>
      <c r="F16" s="3">
        <f>[1]!s_fa_yoynetprofit($A16,F$1)</f>
        <v>-81.672600000000003</v>
      </c>
      <c r="G16" s="3">
        <f>[1]!s_fa_yoynetprofit($A16,G$1)</f>
        <v>-87.134299999999996</v>
      </c>
      <c r="H16" s="3">
        <f>[1]!s_fa_yoynetprofit($A16,H$1)</f>
        <v>-123.8677</v>
      </c>
      <c r="I16" s="3">
        <f>[1]!s_fa_yoynetprofit($A16,I$1)</f>
        <v>-151.1525</v>
      </c>
      <c r="J16" s="3">
        <f>[1]!s_fa_yoynetprofit($A16,J$1)</f>
        <v>-7.968</v>
      </c>
      <c r="K16" s="3">
        <f>[1]!s_fa_yoynetprofit($A16,K$1)</f>
        <v>7.5674000000000001</v>
      </c>
      <c r="L16" s="3">
        <f>[1]!s_fa_yoynetprofit($A16,L$1)</f>
        <v>21.189800000000002</v>
      </c>
      <c r="M16" s="3">
        <f>[1]!s_fa_yoynetprofit($A16,M$1)</f>
        <v>54.515099999999997</v>
      </c>
      <c r="N16" s="3">
        <f>[1]!s_fa_yoynetprofit($A16,N$1)</f>
        <v>13.2715</v>
      </c>
      <c r="O16" s="3">
        <f>[1]!s_fa_yoynetprofit($A16,O$1)</f>
        <v>27.288</v>
      </c>
      <c r="P16" s="3">
        <f>[1]!s_fa_yoynetprofit($A16,P$1)</f>
        <v>33.274900000000002</v>
      </c>
      <c r="Q16" s="3">
        <f>[1]!s_fa_yoynetprofit($A16,Q$1)</f>
        <v>38.231999999999999</v>
      </c>
      <c r="R16" s="3">
        <f>[1]!s_fa_yoynetprofit($A16,R$1)</f>
        <v>28.891500000000001</v>
      </c>
      <c r="S16" s="3">
        <f>[1]!s_fa_yoynetprofit($A16,S$1)</f>
        <v>23.2029</v>
      </c>
      <c r="T16" s="3">
        <f>[1]!s_fa_yoynetprofit($A16,T$1)</f>
        <v>18.844200000000001</v>
      </c>
      <c r="U16" s="3">
        <f>[1]!s_fa_yoynetprofit($A16,U$1)</f>
        <v>-3.9811000000000001</v>
      </c>
      <c r="V16" s="3">
        <f>[1]!s_fa_yoynetprofit($A16,V$1)</f>
        <v>26.008600000000001</v>
      </c>
      <c r="W16" s="3">
        <f>[1]!s_fa_yoynetprofit($A16,W$1)</f>
        <v>25.061499999999999</v>
      </c>
      <c r="X16" s="3">
        <f>[1]!s_fa_yoynetprofit($A16,X$1)</f>
        <v>13.494300000000001</v>
      </c>
      <c r="Y16" s="3">
        <f>[1]!s_fa_yoynetprofit($A16,Y$1)</f>
        <v>17.5487</v>
      </c>
    </row>
    <row r="17" spans="1:25">
      <c r="A17" s="1" t="s">
        <v>15</v>
      </c>
      <c r="B17" s="1" t="s">
        <v>58</v>
      </c>
      <c r="C17" s="3" t="str">
        <f ca="1">[1]!s_fa_yoynetprofit($A17,C$1)</f>
        <v>#N/A</v>
      </c>
      <c r="D17" s="3">
        <f>[1]!s_fa_yoynetprofit($A17,D$1)</f>
        <v>33.705199999999998</v>
      </c>
      <c r="E17" s="3">
        <f>[1]!s_fa_yoynetprofit($A17,E$1)</f>
        <v>106.0646</v>
      </c>
      <c r="F17" s="3">
        <f>[1]!s_fa_yoynetprofit($A17,F$1)</f>
        <v>10.4694</v>
      </c>
      <c r="G17" s="3">
        <f>[1]!s_fa_yoynetprofit($A17,G$1)</f>
        <v>-11.443899999999999</v>
      </c>
      <c r="H17" s="3">
        <f>[1]!s_fa_yoynetprofit($A17,H$1)</f>
        <v>-27.1374</v>
      </c>
      <c r="I17" s="3">
        <f>[1]!s_fa_yoynetprofit($A17,I$1)</f>
        <v>-51.936999999999998</v>
      </c>
      <c r="J17" s="3">
        <f>[1]!s_fa_yoynetprofit($A17,J$1)</f>
        <v>19.238</v>
      </c>
      <c r="K17" s="3">
        <f>[1]!s_fa_yoynetprofit($A17,K$1)</f>
        <v>12.525399999999999</v>
      </c>
      <c r="L17" s="3">
        <f>[1]!s_fa_yoynetprofit($A17,L$1)</f>
        <v>9.1722999999999999</v>
      </c>
      <c r="M17" s="3">
        <f>[1]!s_fa_yoynetprofit($A17,M$1)</f>
        <v>7.0934999999999997</v>
      </c>
      <c r="N17" s="3">
        <f>[1]!s_fa_yoynetprofit($A17,N$1)</f>
        <v>-12.7166</v>
      </c>
      <c r="O17" s="3">
        <f>[1]!s_fa_yoynetprofit($A17,O$1)</f>
        <v>16.445499999999999</v>
      </c>
      <c r="P17" s="3">
        <f>[1]!s_fa_yoynetprofit($A17,P$1)</f>
        <v>21.023800000000001</v>
      </c>
      <c r="Q17" s="3">
        <f>[1]!s_fa_yoynetprofit($A17,Q$1)</f>
        <v>22.175599999999999</v>
      </c>
      <c r="R17" s="3">
        <f>[1]!s_fa_yoynetprofit($A17,R$1)</f>
        <v>29.254200000000001</v>
      </c>
      <c r="S17" s="3">
        <f>[1]!s_fa_yoynetprofit($A17,S$1)</f>
        <v>24.342199999999998</v>
      </c>
      <c r="T17" s="3">
        <f>[1]!s_fa_yoynetprofit($A17,T$1)</f>
        <v>22.699400000000001</v>
      </c>
      <c r="U17" s="3">
        <f>[1]!s_fa_yoynetprofit($A17,U$1)</f>
        <v>13.2698</v>
      </c>
      <c r="V17" s="3">
        <f>[1]!s_fa_yoynetprofit($A17,V$1)</f>
        <v>33.1053</v>
      </c>
      <c r="W17" s="3">
        <f>[1]!s_fa_yoynetprofit($A17,W$1)</f>
        <v>22.3613</v>
      </c>
      <c r="X17" s="3">
        <f>[1]!s_fa_yoynetprofit($A17,X$1)</f>
        <v>16.590399999999999</v>
      </c>
      <c r="Y17" s="3">
        <f>[1]!s_fa_yoynetprofit($A17,Y$1)</f>
        <v>14.8125</v>
      </c>
    </row>
    <row r="18" spans="1:25">
      <c r="A18" s="1" t="s">
        <v>16</v>
      </c>
      <c r="B18" s="1" t="s">
        <v>59</v>
      </c>
      <c r="C18" s="3" t="str">
        <f ca="1">[1]!s_fa_yoynetprofit($A18,C$1)</f>
        <v>#N/A</v>
      </c>
      <c r="D18" s="3">
        <f>[1]!s_fa_yoynetprofit($A18,D$1)</f>
        <v>46.745899999999999</v>
      </c>
      <c r="E18" s="3">
        <f>[1]!s_fa_yoynetprofit($A18,E$1)</f>
        <v>146.95670000000001</v>
      </c>
      <c r="F18" s="3">
        <f>[1]!s_fa_yoynetprofit($A18,F$1)</f>
        <v>-16.986799999999999</v>
      </c>
      <c r="G18" s="3">
        <f>[1]!s_fa_yoynetprofit($A18,G$1)</f>
        <v>-50.1631</v>
      </c>
      <c r="H18" s="3">
        <f>[1]!s_fa_yoynetprofit($A18,H$1)</f>
        <v>-54.258699999999997</v>
      </c>
      <c r="I18" s="3">
        <f>[1]!s_fa_yoynetprofit($A18,I$1)</f>
        <v>-80.1434</v>
      </c>
      <c r="J18" s="3">
        <f>[1]!s_fa_yoynetprofit($A18,J$1)</f>
        <v>-22.854199999999999</v>
      </c>
      <c r="K18" s="3">
        <f>[1]!s_fa_yoynetprofit($A18,K$1)</f>
        <v>-17.777799999999999</v>
      </c>
      <c r="L18" s="3">
        <f>[1]!s_fa_yoynetprofit($A18,L$1)</f>
        <v>-13.091799999999999</v>
      </c>
      <c r="M18" s="3">
        <f>[1]!s_fa_yoynetprofit($A18,M$1)</f>
        <v>11.822800000000001</v>
      </c>
      <c r="N18" s="3">
        <f>[1]!s_fa_yoynetprofit($A18,N$1)</f>
        <v>-27.113900000000001</v>
      </c>
      <c r="O18" s="3">
        <f>[1]!s_fa_yoynetprofit($A18,O$1)</f>
        <v>6.4938000000000002</v>
      </c>
      <c r="P18" s="3">
        <f>[1]!s_fa_yoynetprofit($A18,P$1)</f>
        <v>8.1283999999999992</v>
      </c>
      <c r="Q18" s="3">
        <f>[1]!s_fa_yoynetprofit($A18,Q$1)</f>
        <v>13.764699999999999</v>
      </c>
      <c r="R18" s="3">
        <f>[1]!s_fa_yoynetprofit($A18,R$1)</f>
        <v>-7.9645999999999999</v>
      </c>
      <c r="S18" s="3">
        <f>[1]!s_fa_yoynetprofit($A18,S$1)</f>
        <v>9.0827000000000009</v>
      </c>
      <c r="T18" s="3">
        <f>[1]!s_fa_yoynetprofit($A18,T$1)</f>
        <v>6.5434999999999999</v>
      </c>
      <c r="U18" s="3">
        <f>[1]!s_fa_yoynetprofit($A18,U$1)</f>
        <v>-10.5219</v>
      </c>
      <c r="V18" s="3">
        <f>[1]!s_fa_yoynetprofit($A18,V$1)</f>
        <v>5.3292000000000002</v>
      </c>
      <c r="W18" s="3">
        <f>[1]!s_fa_yoynetprofit($A18,W$1)</f>
        <v>1.2330000000000001</v>
      </c>
      <c r="X18" s="3">
        <f>[1]!s_fa_yoynetprofit($A18,X$1)</f>
        <v>0.63970000000000005</v>
      </c>
      <c r="Y18" s="3">
        <f>[1]!s_fa_yoynetprofit($A18,Y$1)</f>
        <v>29.056999999999999</v>
      </c>
    </row>
    <row r="19" spans="1:25">
      <c r="A19" s="1" t="s">
        <v>17</v>
      </c>
      <c r="B19" s="1" t="s">
        <v>60</v>
      </c>
      <c r="C19" s="3" t="str">
        <f ca="1">[1]!s_fa_yoynetprofit($A19,C$1)</f>
        <v>#N/A</v>
      </c>
      <c r="D19" s="3">
        <f>[1]!s_fa_yoynetprofit($A19,D$1)</f>
        <v>43.857100000000003</v>
      </c>
      <c r="E19" s="3">
        <f>[1]!s_fa_yoynetprofit($A19,E$1)</f>
        <v>73.349100000000007</v>
      </c>
      <c r="F19" s="3">
        <f>[1]!s_fa_yoynetprofit($A19,F$1)</f>
        <v>27.165099999999999</v>
      </c>
      <c r="G19" s="3">
        <f>[1]!s_fa_yoynetprofit($A19,G$1)</f>
        <v>20.474499999999999</v>
      </c>
      <c r="H19" s="3">
        <f>[1]!s_fa_yoynetprofit($A19,H$1)</f>
        <v>10.622299999999999</v>
      </c>
      <c r="I19" s="3">
        <f>[1]!s_fa_yoynetprofit($A19,I$1)</f>
        <v>-16.9817</v>
      </c>
      <c r="J19" s="3">
        <f>[1]!s_fa_yoynetprofit($A19,J$1)</f>
        <v>-10.9208</v>
      </c>
      <c r="K19" s="3">
        <f>[1]!s_fa_yoynetprofit($A19,K$1)</f>
        <v>8.1001999999999992</v>
      </c>
      <c r="L19" s="3">
        <f>[1]!s_fa_yoynetprofit($A19,L$1)</f>
        <v>6.899</v>
      </c>
      <c r="M19" s="3">
        <f>[1]!s_fa_yoynetprofit($A19,M$1)</f>
        <v>14.0488</v>
      </c>
      <c r="N19" s="3">
        <f>[1]!s_fa_yoynetprofit($A19,N$1)</f>
        <v>-7.0140000000000002</v>
      </c>
      <c r="O19" s="3">
        <f>[1]!s_fa_yoynetprofit($A19,O$1)</f>
        <v>9.0056999999999992</v>
      </c>
      <c r="P19" s="3">
        <f>[1]!s_fa_yoynetprofit($A19,P$1)</f>
        <v>21.347899999999999</v>
      </c>
      <c r="Q19" s="3">
        <f>[1]!s_fa_yoynetprofit($A19,Q$1)</f>
        <v>27.3232</v>
      </c>
      <c r="R19" s="3">
        <f>[1]!s_fa_yoynetprofit($A19,R$1)</f>
        <v>23.651900000000001</v>
      </c>
      <c r="S19" s="3">
        <f>[1]!s_fa_yoynetprofit($A19,S$1)</f>
        <v>25.5763</v>
      </c>
      <c r="T19" s="3">
        <f>[1]!s_fa_yoynetprofit($A19,T$1)</f>
        <v>16.877500000000001</v>
      </c>
      <c r="U19" s="3">
        <f>[1]!s_fa_yoynetprofit($A19,U$1)</f>
        <v>13.7448</v>
      </c>
      <c r="V19" s="3">
        <f>[1]!s_fa_yoynetprofit($A19,V$1)</f>
        <v>17.258099999999999</v>
      </c>
      <c r="W19" s="3">
        <f>[1]!s_fa_yoynetprofit($A19,W$1)</f>
        <v>16.877400000000002</v>
      </c>
      <c r="X19" s="3">
        <f>[1]!s_fa_yoynetprofit($A19,X$1)</f>
        <v>12.732799999999999</v>
      </c>
      <c r="Y19" s="3">
        <f>[1]!s_fa_yoynetprofit($A19,Y$1)</f>
        <v>18.964500000000001</v>
      </c>
    </row>
    <row r="20" spans="1:25">
      <c r="A20" s="1" t="s">
        <v>18</v>
      </c>
      <c r="B20" s="1" t="s">
        <v>61</v>
      </c>
      <c r="C20" s="3" t="str">
        <f ca="1">[1]!s_fa_yoynetprofit($A20,C$1)</f>
        <v>#N/A</v>
      </c>
      <c r="D20" s="3">
        <f>[1]!s_fa_yoynetprofit($A20,D$1)</f>
        <v>15.5253</v>
      </c>
      <c r="E20" s="3">
        <f>[1]!s_fa_yoynetprofit($A20,E$1)</f>
        <v>26.553999999999998</v>
      </c>
      <c r="F20" s="3">
        <f>[1]!s_fa_yoynetprofit($A20,F$1)</f>
        <v>16.124400000000001</v>
      </c>
      <c r="G20" s="3">
        <f>[1]!s_fa_yoynetprofit($A20,G$1)</f>
        <v>13.6837</v>
      </c>
      <c r="H20" s="3">
        <f>[1]!s_fa_yoynetprofit($A20,H$1)</f>
        <v>10.340999999999999</v>
      </c>
      <c r="I20" s="3">
        <f>[1]!s_fa_yoynetprofit($A20,I$1)</f>
        <v>0.28620000000000001</v>
      </c>
      <c r="J20" s="3">
        <f>[1]!s_fa_yoynetprofit($A20,J$1)</f>
        <v>13.9483</v>
      </c>
      <c r="K20" s="3">
        <f>[1]!s_fa_yoynetprofit($A20,K$1)</f>
        <v>19.085599999999999</v>
      </c>
      <c r="L20" s="3">
        <f>[1]!s_fa_yoynetprofit($A20,L$1)</f>
        <v>20.478999999999999</v>
      </c>
      <c r="M20" s="3">
        <f>[1]!s_fa_yoynetprofit($A20,M$1)</f>
        <v>22.7652</v>
      </c>
      <c r="N20" s="3">
        <f>[1]!s_fa_yoynetprofit($A20,N$1)</f>
        <v>25.8613</v>
      </c>
      <c r="O20" s="3">
        <f>[1]!s_fa_yoynetprofit($A20,O$1)</f>
        <v>24.3764</v>
      </c>
      <c r="P20" s="3">
        <f>[1]!s_fa_yoynetprofit($A20,P$1)</f>
        <v>31.745000000000001</v>
      </c>
      <c r="Q20" s="3">
        <f>[1]!s_fa_yoynetprofit($A20,Q$1)</f>
        <v>30.2361</v>
      </c>
      <c r="R20" s="3">
        <f>[1]!s_fa_yoynetprofit($A20,R$1)</f>
        <v>30.018000000000001</v>
      </c>
      <c r="S20" s="3">
        <f>[1]!s_fa_yoynetprofit($A20,S$1)</f>
        <v>29.414400000000001</v>
      </c>
      <c r="T20" s="3">
        <f>[1]!s_fa_yoynetprofit($A20,T$1)</f>
        <v>18.751200000000001</v>
      </c>
      <c r="U20" s="3">
        <f>[1]!s_fa_yoynetprofit($A20,U$1)</f>
        <v>17.932400000000001</v>
      </c>
      <c r="V20" s="3">
        <f>[1]!s_fa_yoynetprofit($A20,V$1)</f>
        <v>10.787699999999999</v>
      </c>
      <c r="W20" s="3">
        <f>[1]!s_fa_yoynetprofit($A20,W$1)</f>
        <v>10.4993</v>
      </c>
      <c r="X20" s="3">
        <f>[1]!s_fa_yoynetprofit($A20,X$1)</f>
        <v>8.3391000000000002</v>
      </c>
      <c r="Y20" s="3">
        <f>[1]!s_fa_yoynetprofit($A20,Y$1)</f>
        <v>14.9512</v>
      </c>
    </row>
    <row r="21" spans="1:25">
      <c r="A21" s="1" t="s">
        <v>19</v>
      </c>
      <c r="B21" s="1" t="s">
        <v>62</v>
      </c>
      <c r="C21" s="3" t="str">
        <f ca="1">[1]!s_fa_yoynetprofit($A21,C$1)</f>
        <v>#N/A</v>
      </c>
      <c r="D21" s="3">
        <f>[1]!s_fa_yoynetprofit($A21,D$1)</f>
        <v>-70.438699999999997</v>
      </c>
      <c r="E21" s="3">
        <f>[1]!s_fa_yoynetprofit($A21,E$1)</f>
        <v>0.5363</v>
      </c>
      <c r="F21" s="3">
        <f>[1]!s_fa_yoynetprofit($A21,F$1)</f>
        <v>43.8932</v>
      </c>
      <c r="G21" s="3">
        <f>[1]!s_fa_yoynetprofit($A21,G$1)</f>
        <v>131.58260000000001</v>
      </c>
      <c r="H21" s="3">
        <f>[1]!s_fa_yoynetprofit($A21,H$1)</f>
        <v>210.83930000000001</v>
      </c>
      <c r="I21" s="3">
        <f>[1]!s_fa_yoynetprofit($A21,I$1)</f>
        <v>574.6191</v>
      </c>
      <c r="J21" s="3">
        <f>[1]!s_fa_yoynetprofit($A21,J$1)</f>
        <v>279.00819999999999</v>
      </c>
      <c r="K21" s="3">
        <f>[1]!s_fa_yoynetprofit($A21,K$1)</f>
        <v>77.638000000000005</v>
      </c>
      <c r="L21" s="3">
        <f>[1]!s_fa_yoynetprofit($A21,L$1)</f>
        <v>123.7731</v>
      </c>
      <c r="M21" s="3">
        <f>[1]!s_fa_yoynetprofit($A21,M$1)</f>
        <v>-71.4405</v>
      </c>
      <c r="N21" s="3">
        <f>[1]!s_fa_yoynetprofit($A21,N$1)</f>
        <v>-60.213000000000001</v>
      </c>
      <c r="O21" s="3">
        <f>[1]!s_fa_yoynetprofit($A21,O$1)</f>
        <v>-16.496200000000002</v>
      </c>
      <c r="P21" s="3">
        <f>[1]!s_fa_yoynetprofit($A21,P$1)</f>
        <v>-39.4099</v>
      </c>
      <c r="Q21" s="3">
        <f>[1]!s_fa_yoynetprofit($A21,Q$1)</f>
        <v>-5.7328000000000001</v>
      </c>
      <c r="R21" s="3">
        <f>[1]!s_fa_yoynetprofit($A21,R$1)</f>
        <v>-42.227899999999998</v>
      </c>
      <c r="S21" s="3">
        <f>[1]!s_fa_yoynetprofit($A21,S$1)</f>
        <v>-26.155799999999999</v>
      </c>
      <c r="T21" s="3">
        <f>[1]!s_fa_yoynetprofit($A21,T$1)</f>
        <v>-32.467700000000001</v>
      </c>
      <c r="U21" s="3">
        <f>[1]!s_fa_yoynetprofit($A21,U$1)</f>
        <v>47.061300000000003</v>
      </c>
      <c r="V21" s="3">
        <f>[1]!s_fa_yoynetprofit($A21,V$1)</f>
        <v>141.80520000000001</v>
      </c>
      <c r="W21" s="3">
        <f>[1]!s_fa_yoynetprofit($A21,W$1)</f>
        <v>125.1704</v>
      </c>
      <c r="X21" s="3">
        <f>[1]!s_fa_yoynetprofit($A21,X$1)</f>
        <v>143.4599</v>
      </c>
      <c r="Y21" s="3">
        <f>[1]!s_fa_yoynetprofit($A21,Y$1)</f>
        <v>228.50020000000001</v>
      </c>
    </row>
    <row r="22" spans="1:25">
      <c r="A22" s="1" t="s">
        <v>20</v>
      </c>
      <c r="B22" s="1" t="s">
        <v>63</v>
      </c>
      <c r="C22" s="3" t="str">
        <f ca="1">[1]!s_fa_yoynetprofit($A22,C$1)</f>
        <v>#N/A</v>
      </c>
      <c r="D22" s="3">
        <f>[1]!s_fa_yoynetprofit($A22,D$1)</f>
        <v>12.969900000000001</v>
      </c>
      <c r="E22" s="3">
        <f>[1]!s_fa_yoynetprofit($A22,E$1)</f>
        <v>4.5803000000000003</v>
      </c>
      <c r="F22" s="3">
        <f>[1]!s_fa_yoynetprofit($A22,F$1)</f>
        <v>0.626</v>
      </c>
      <c r="G22" s="3">
        <f>[1]!s_fa_yoynetprofit($A22,G$1)</f>
        <v>-7.9146000000000001</v>
      </c>
      <c r="H22" s="3">
        <f>[1]!s_fa_yoynetprofit($A22,H$1)</f>
        <v>-9.4301999999999992</v>
      </c>
      <c r="I22" s="3">
        <f>[1]!s_fa_yoynetprofit($A22,I$1)</f>
        <v>5.4881000000000002</v>
      </c>
      <c r="J22" s="3">
        <f>[1]!s_fa_yoynetprofit($A22,J$1)</f>
        <v>6.4691999999999998</v>
      </c>
      <c r="K22" s="3">
        <f>[1]!s_fa_yoynetprofit($A22,K$1)</f>
        <v>7.1006</v>
      </c>
      <c r="L22" s="3">
        <f>[1]!s_fa_yoynetprofit($A22,L$1)</f>
        <v>6.7168000000000001</v>
      </c>
      <c r="M22" s="3">
        <f>[1]!s_fa_yoynetprofit($A22,M$1)</f>
        <v>6.2237</v>
      </c>
      <c r="N22" s="3">
        <f>[1]!s_fa_yoynetprofit($A22,N$1)</f>
        <v>5.6113</v>
      </c>
      <c r="O22" s="3">
        <f>[1]!s_fa_yoynetprofit($A22,O$1)</f>
        <v>6.8745000000000003</v>
      </c>
      <c r="P22" s="3">
        <f>[1]!s_fa_yoynetprofit($A22,P$1)</f>
        <v>6.4433999999999996</v>
      </c>
      <c r="Q22" s="3">
        <f>[1]!s_fa_yoynetprofit($A22,Q$1)</f>
        <v>5.5633999999999997</v>
      </c>
      <c r="R22" s="3">
        <f>[1]!s_fa_yoynetprofit($A22,R$1)</f>
        <v>4.6311</v>
      </c>
      <c r="S22" s="3">
        <f>[1]!s_fa_yoynetprofit($A22,S$1)</f>
        <v>4.4596</v>
      </c>
      <c r="T22" s="3">
        <f>[1]!s_fa_yoynetprofit($A22,T$1)</f>
        <v>4.8063000000000002</v>
      </c>
      <c r="U22" s="3">
        <f>[1]!s_fa_yoynetprofit($A22,U$1)</f>
        <v>2.6145999999999998</v>
      </c>
      <c r="V22" s="3">
        <f>[1]!s_fa_yoynetprofit($A22,V$1)</f>
        <v>1.6345000000000001</v>
      </c>
      <c r="W22" s="3">
        <f>[1]!s_fa_yoynetprofit($A22,W$1)</f>
        <v>2.4952999999999999</v>
      </c>
      <c r="X22" s="3">
        <f>[1]!s_fa_yoynetprofit($A22,X$1)</f>
        <v>2.5493000000000001</v>
      </c>
      <c r="Y22" s="3">
        <f>[1]!s_fa_yoynetprofit($A22,Y$1)</f>
        <v>2.8098999999999998</v>
      </c>
    </row>
    <row r="23" spans="1:25">
      <c r="A23" s="1" t="s">
        <v>21</v>
      </c>
      <c r="B23" s="1" t="s">
        <v>64</v>
      </c>
      <c r="C23" s="3" t="str">
        <f ca="1">[1]!s_fa_yoynetprofit($A23,C$1)</f>
        <v>#N/A</v>
      </c>
      <c r="D23" s="3">
        <f>[1]!s_fa_yoynetprofit($A23,D$1)</f>
        <v>29.532</v>
      </c>
      <c r="E23" s="3">
        <f>[1]!s_fa_yoynetprofit($A23,E$1)</f>
        <v>22.170300000000001</v>
      </c>
      <c r="F23" s="3">
        <f>[1]!s_fa_yoynetprofit($A23,F$1)</f>
        <v>0.30880000000000002</v>
      </c>
      <c r="G23" s="3">
        <f>[1]!s_fa_yoynetprofit($A23,G$1)</f>
        <v>-6.3257000000000003</v>
      </c>
      <c r="H23" s="3">
        <f>[1]!s_fa_yoynetprofit($A23,H$1)</f>
        <v>-23.126300000000001</v>
      </c>
      <c r="I23" s="3">
        <f>[1]!s_fa_yoynetprofit($A23,I$1)</f>
        <v>-23.6448</v>
      </c>
      <c r="J23" s="3">
        <f>[1]!s_fa_yoynetprofit($A23,J$1)</f>
        <v>66.193799999999996</v>
      </c>
      <c r="K23" s="3">
        <f>[1]!s_fa_yoynetprofit($A23,K$1)</f>
        <v>73.895899999999997</v>
      </c>
      <c r="L23" s="3">
        <f>[1]!s_fa_yoynetprofit($A23,L$1)</f>
        <v>70.008300000000006</v>
      </c>
      <c r="M23" s="3">
        <f>[1]!s_fa_yoynetprofit($A23,M$1)</f>
        <v>75.825299999999999</v>
      </c>
      <c r="N23" s="3">
        <f>[1]!s_fa_yoynetprofit($A23,N$1)</f>
        <v>-17.475200000000001</v>
      </c>
      <c r="O23" s="3">
        <f>[1]!s_fa_yoynetprofit($A23,O$1)</f>
        <v>-8.5548000000000002</v>
      </c>
      <c r="P23" s="3">
        <f>[1]!s_fa_yoynetprofit($A23,P$1)</f>
        <v>9.3834</v>
      </c>
      <c r="Q23" s="3">
        <f>[1]!s_fa_yoynetprofit($A23,Q$1)</f>
        <v>15.096399999999999</v>
      </c>
      <c r="R23" s="3">
        <f>[1]!s_fa_yoynetprofit($A23,R$1)</f>
        <v>24.561800000000002</v>
      </c>
      <c r="S23" s="3">
        <f>[1]!s_fa_yoynetprofit($A23,S$1)</f>
        <v>15.3713</v>
      </c>
      <c r="T23" s="3">
        <f>[1]!s_fa_yoynetprofit($A23,T$1)</f>
        <v>4.0976999999999997</v>
      </c>
      <c r="U23" s="3">
        <f>[1]!s_fa_yoynetprofit($A23,U$1)</f>
        <v>14.1303</v>
      </c>
      <c r="V23" s="3">
        <f>[1]!s_fa_yoynetprofit($A23,V$1)</f>
        <v>-33.524700000000003</v>
      </c>
      <c r="W23" s="3">
        <f>[1]!s_fa_yoynetprofit($A23,W$1)</f>
        <v>-35.234200000000001</v>
      </c>
      <c r="X23" s="3">
        <f>[1]!s_fa_yoynetprofit($A23,X$1)</f>
        <v>-45.698799999999999</v>
      </c>
      <c r="Y23" s="3">
        <f>[1]!s_fa_yoynetprofit($A23,Y$1)</f>
        <v>-36.537500000000001</v>
      </c>
    </row>
    <row r="24" spans="1:25">
      <c r="A24" s="1" t="s">
        <v>22</v>
      </c>
      <c r="B24" s="1" t="s">
        <v>65</v>
      </c>
      <c r="C24" s="3" t="str">
        <f ca="1">[1]!s_fa_yoynetprofit($A24,C$1)</f>
        <v>#N/A</v>
      </c>
      <c r="D24" s="3">
        <f>[1]!s_fa_yoynetprofit($A24,D$1)</f>
        <v>-18.729199999999999</v>
      </c>
      <c r="E24" s="3">
        <f>[1]!s_fa_yoynetprofit($A24,E$1)</f>
        <v>-14.327</v>
      </c>
      <c r="F24" s="3">
        <f>[1]!s_fa_yoynetprofit($A24,F$1)</f>
        <v>-19.110900000000001</v>
      </c>
      <c r="G24" s="3">
        <f>[1]!s_fa_yoynetprofit($A24,G$1)</f>
        <v>-15.786</v>
      </c>
      <c r="H24" s="3">
        <f>[1]!s_fa_yoynetprofit($A24,H$1)</f>
        <v>-21.142499999999998</v>
      </c>
      <c r="I24" s="3">
        <f>[1]!s_fa_yoynetprofit($A24,I$1)</f>
        <v>-46.1539</v>
      </c>
      <c r="J24" s="3">
        <f>[1]!s_fa_yoynetprofit($A24,J$1)</f>
        <v>8.1660000000000004</v>
      </c>
      <c r="K24" s="3">
        <f>[1]!s_fa_yoynetprofit($A24,K$1)</f>
        <v>11.9702</v>
      </c>
      <c r="L24" s="3">
        <f>[1]!s_fa_yoynetprofit($A24,L$1)</f>
        <v>16.1433</v>
      </c>
      <c r="M24" s="3">
        <f>[1]!s_fa_yoynetprofit($A24,M$1)</f>
        <v>15.541399999999999</v>
      </c>
      <c r="N24" s="3">
        <f>[1]!s_fa_yoynetprofit($A24,N$1)</f>
        <v>8.8920999999999992</v>
      </c>
      <c r="O24" s="3">
        <f>[1]!s_fa_yoynetprofit($A24,O$1)</f>
        <v>29.545100000000001</v>
      </c>
      <c r="P24" s="3">
        <f>[1]!s_fa_yoynetprofit($A24,P$1)</f>
        <v>36.032299999999999</v>
      </c>
      <c r="Q24" s="3">
        <f>[1]!s_fa_yoynetprofit($A24,Q$1)</f>
        <v>33.767099999999999</v>
      </c>
      <c r="R24" s="3">
        <f>[1]!s_fa_yoynetprofit($A24,R$1)</f>
        <v>26.694199999999999</v>
      </c>
      <c r="S24" s="3">
        <f>[1]!s_fa_yoynetprofit($A24,S$1)</f>
        <v>23.858000000000001</v>
      </c>
      <c r="T24" s="3">
        <f>[1]!s_fa_yoynetprofit($A24,T$1)</f>
        <v>23.0366</v>
      </c>
      <c r="U24" s="3">
        <f>[1]!s_fa_yoynetprofit($A24,U$1)</f>
        <v>44.167700000000004</v>
      </c>
      <c r="V24" s="3">
        <f>[1]!s_fa_yoynetprofit($A24,V$1)</f>
        <v>37.356299999999997</v>
      </c>
      <c r="W24" s="3">
        <f>[1]!s_fa_yoynetprofit($A24,W$1)</f>
        <v>23.876100000000001</v>
      </c>
      <c r="X24" s="3">
        <f>[1]!s_fa_yoynetprofit($A24,X$1)</f>
        <v>15.339499999999999</v>
      </c>
      <c r="Y24" s="3">
        <f>[1]!s_fa_yoynetprofit($A24,Y$1)</f>
        <v>20.8552</v>
      </c>
    </row>
    <row r="25" spans="1:25">
      <c r="A25" s="1" t="s">
        <v>23</v>
      </c>
      <c r="B25" s="1" t="s">
        <v>66</v>
      </c>
      <c r="C25" s="3" t="str">
        <f ca="1">[1]!s_fa_yoynetprofit($A25,C$1)</f>
        <v>#N/A</v>
      </c>
      <c r="D25" s="5">
        <f>[1]!s_fa_yoynetprofit($A25,D$1)</f>
        <v>350040.3223</v>
      </c>
      <c r="E25" s="3">
        <f>[1]!s_fa_yoynetprofit($A25,E$1)</f>
        <v>327.84879999999998</v>
      </c>
      <c r="F25" s="3">
        <f>[1]!s_fa_yoynetprofit($A25,F$1)</f>
        <v>-96.521600000000007</v>
      </c>
      <c r="G25" s="3">
        <f>[1]!s_fa_yoynetprofit($A25,G$1)</f>
        <v>-75.519599999999997</v>
      </c>
      <c r="H25" s="3">
        <f>[1]!s_fa_yoynetprofit($A25,H$1)</f>
        <v>-101.67489999999999</v>
      </c>
      <c r="I25" s="3">
        <f>[1]!s_fa_yoynetprofit($A25,I$1)</f>
        <v>-131.06010000000001</v>
      </c>
      <c r="J25" s="3">
        <f>[1]!s_fa_yoynetprofit($A25,J$1)</f>
        <v>1.6813</v>
      </c>
      <c r="K25" s="3">
        <f>[1]!s_fa_yoynetprofit($A25,K$1)</f>
        <v>8.2635000000000005</v>
      </c>
      <c r="L25" s="3">
        <f>[1]!s_fa_yoynetprofit($A25,L$1)</f>
        <v>12.250999999999999</v>
      </c>
      <c r="M25" s="3">
        <f>[1]!s_fa_yoynetprofit($A25,M$1)</f>
        <v>13.813700000000001</v>
      </c>
      <c r="N25" s="3">
        <f>[1]!s_fa_yoynetprofit($A25,N$1)</f>
        <v>-17.070599999999999</v>
      </c>
      <c r="O25" s="3">
        <f>[1]!s_fa_yoynetprofit($A25,O$1)</f>
        <v>-10.7669</v>
      </c>
      <c r="P25" s="3">
        <f>[1]!s_fa_yoynetprofit($A25,P$1)</f>
        <v>-3.7452000000000001</v>
      </c>
      <c r="Q25" s="3">
        <f>[1]!s_fa_yoynetprofit($A25,Q$1)</f>
        <v>14.3795</v>
      </c>
      <c r="R25" s="3">
        <f>[1]!s_fa_yoynetprofit($A25,R$1)</f>
        <v>43.832599999999999</v>
      </c>
      <c r="S25" s="3">
        <f>[1]!s_fa_yoynetprofit($A25,S$1)</f>
        <v>41.193600000000004</v>
      </c>
      <c r="T25" s="3">
        <f>[1]!s_fa_yoynetprofit($A25,T$1)</f>
        <v>43.756900000000002</v>
      </c>
      <c r="U25" s="3">
        <f>[1]!s_fa_yoynetprofit($A25,U$1)</f>
        <v>33.2806</v>
      </c>
      <c r="V25" s="3">
        <f>[1]!s_fa_yoynetprofit($A25,V$1)</f>
        <v>-8.9532000000000007</v>
      </c>
      <c r="W25" s="3">
        <f>[1]!s_fa_yoynetprofit($A25,W$1)</f>
        <v>-12.223800000000001</v>
      </c>
      <c r="X25" s="3">
        <f>[1]!s_fa_yoynetprofit($A25,X$1)</f>
        <v>-28.812100000000001</v>
      </c>
      <c r="Y25" s="3">
        <f>[1]!s_fa_yoynetprofit($A25,Y$1)</f>
        <v>-16.7883</v>
      </c>
    </row>
    <row r="26" spans="1:25">
      <c r="A26" s="1" t="s">
        <v>24</v>
      </c>
      <c r="B26" s="1" t="s">
        <v>67</v>
      </c>
      <c r="C26" s="3" t="str">
        <f ca="1">[1]!s_fa_yoynetprofit($A26,C$1)</f>
        <v>#N/A</v>
      </c>
      <c r="D26" s="3">
        <f>[1]!s_fa_yoynetprofit($A26,D$1)</f>
        <v>110.7008</v>
      </c>
      <c r="E26" s="3">
        <f>[1]!s_fa_yoynetprofit($A26,E$1)</f>
        <v>179.58449999999999</v>
      </c>
      <c r="F26" s="3">
        <f>[1]!s_fa_yoynetprofit($A26,F$1)</f>
        <v>52.254899999999999</v>
      </c>
      <c r="G26" s="3">
        <f>[1]!s_fa_yoynetprofit($A26,G$1)</f>
        <v>24.873799999999999</v>
      </c>
      <c r="H26" s="3">
        <f>[1]!s_fa_yoynetprofit($A26,H$1)</f>
        <v>9.17</v>
      </c>
      <c r="I26" s="3">
        <f>[1]!s_fa_yoynetprofit($A26,I$1)</f>
        <v>-15.567399999999999</v>
      </c>
      <c r="J26" s="3">
        <f>[1]!s_fa_yoynetprofit($A26,J$1)</f>
        <v>24.2788</v>
      </c>
      <c r="K26" s="3">
        <f>[1]!s_fa_yoynetprofit($A26,K$1)</f>
        <v>-2.7280000000000002</v>
      </c>
      <c r="L26" s="3">
        <f>[1]!s_fa_yoynetprofit($A26,L$1)</f>
        <v>-10.911199999999999</v>
      </c>
      <c r="M26" s="3">
        <f>[1]!s_fa_yoynetprofit($A26,M$1)</f>
        <v>-16.537600000000001</v>
      </c>
      <c r="N26" s="3">
        <f>[1]!s_fa_yoynetprofit($A26,N$1)</f>
        <v>-40.2714</v>
      </c>
      <c r="O26" s="3">
        <f>[1]!s_fa_yoynetprofit($A26,O$1)</f>
        <v>-0.8024</v>
      </c>
      <c r="P26" s="3">
        <f>[1]!s_fa_yoynetprofit($A26,P$1)</f>
        <v>4.8068999999999997</v>
      </c>
      <c r="Q26" s="3">
        <f>[1]!s_fa_yoynetprofit($A26,Q$1)</f>
        <v>13.148300000000001</v>
      </c>
      <c r="R26" s="3">
        <f>[1]!s_fa_yoynetprofit($A26,R$1)</f>
        <v>42.531700000000001</v>
      </c>
      <c r="S26" s="3">
        <f>[1]!s_fa_yoynetprofit($A26,S$1)</f>
        <v>54.335700000000003</v>
      </c>
      <c r="T26" s="3">
        <f>[1]!s_fa_yoynetprofit($A26,T$1)</f>
        <v>61.344299999999997</v>
      </c>
      <c r="U26" s="3">
        <f>[1]!s_fa_yoynetprofit($A26,U$1)</f>
        <v>50.804299999999998</v>
      </c>
      <c r="V26" s="3">
        <f>[1]!s_fa_yoynetprofit($A26,V$1)</f>
        <v>25.0702</v>
      </c>
      <c r="W26" s="3">
        <f>[1]!s_fa_yoynetprofit($A26,W$1)</f>
        <v>17.604500000000002</v>
      </c>
      <c r="X26" s="3">
        <f>[1]!s_fa_yoynetprofit($A26,X$1)</f>
        <v>1.2018</v>
      </c>
      <c r="Y26" s="3">
        <f>[1]!s_fa_yoynetprofit($A26,Y$1)</f>
        <v>6.9580000000000002</v>
      </c>
    </row>
    <row r="27" spans="1:25">
      <c r="A27" s="1" t="s">
        <v>25</v>
      </c>
      <c r="B27" s="1" t="s">
        <v>68</v>
      </c>
      <c r="C27" s="3" t="str">
        <f ca="1">[1]!s_fa_yoynetprofit($A27,C$1)</f>
        <v>#N/A</v>
      </c>
      <c r="D27" s="3">
        <f>[1]!s_fa_yoynetprofit($A27,D$1)</f>
        <v>-4.3781999999999996</v>
      </c>
      <c r="E27" s="3">
        <f>[1]!s_fa_yoynetprofit($A27,E$1)</f>
        <v>90.828100000000006</v>
      </c>
      <c r="F27" s="3">
        <f>[1]!s_fa_yoynetprofit($A27,F$1)</f>
        <v>111.9697</v>
      </c>
      <c r="G27" s="3">
        <f>[1]!s_fa_yoynetprofit($A27,G$1)</f>
        <v>84.845799999999997</v>
      </c>
      <c r="H27" s="3">
        <f>[1]!s_fa_yoynetprofit($A27,H$1)</f>
        <v>612.18470000000002</v>
      </c>
      <c r="I27" s="3">
        <f>[1]!s_fa_yoynetprofit($A27,I$1)</f>
        <v>-43.644599999999997</v>
      </c>
      <c r="J27" s="3">
        <f>[1]!s_fa_yoynetprofit($A27,J$1)</f>
        <v>-33.860999999999997</v>
      </c>
      <c r="K27" s="3">
        <f>[1]!s_fa_yoynetprofit($A27,K$1)</f>
        <v>-19.544899999999998</v>
      </c>
      <c r="L27" s="3">
        <f>[1]!s_fa_yoynetprofit($A27,L$1)</f>
        <v>-157.44820000000001</v>
      </c>
      <c r="M27" s="3">
        <f>[1]!s_fa_yoynetprofit($A27,M$1)</f>
        <v>533.33609999999999</v>
      </c>
      <c r="N27" s="3">
        <f>[1]!s_fa_yoynetprofit($A27,N$1)</f>
        <v>-83.507400000000004</v>
      </c>
      <c r="O27" s="3">
        <f>[1]!s_fa_yoynetprofit($A27,O$1)</f>
        <v>-50.844299999999997</v>
      </c>
      <c r="P27" s="3">
        <f>[1]!s_fa_yoynetprofit($A27,P$1)</f>
        <v>-85.095100000000002</v>
      </c>
      <c r="Q27" s="3">
        <f>[1]!s_fa_yoynetprofit($A27,Q$1)</f>
        <v>-143.4288</v>
      </c>
      <c r="R27" s="3">
        <f>[1]!s_fa_yoynetprofit($A27,R$1)</f>
        <v>10.6456</v>
      </c>
      <c r="S27" s="3">
        <f>[1]!s_fa_yoynetprofit($A27,S$1)</f>
        <v>17.612200000000001</v>
      </c>
      <c r="T27" s="3">
        <f>[1]!s_fa_yoynetprofit($A27,T$1)</f>
        <v>15.5764</v>
      </c>
      <c r="U27" s="3">
        <f>[1]!s_fa_yoynetprofit($A27,U$1)</f>
        <v>-7.2211999999999996</v>
      </c>
      <c r="V27" s="3">
        <f>[1]!s_fa_yoynetprofit($A27,V$1)</f>
        <v>-42.002699999999997</v>
      </c>
      <c r="W27" s="3">
        <f>[1]!s_fa_yoynetprofit($A27,W$1)</f>
        <v>11.999599999999999</v>
      </c>
      <c r="X27" s="3">
        <f>[1]!s_fa_yoynetprofit($A27,X$1)</f>
        <v>18.290199999999999</v>
      </c>
      <c r="Y27" s="3">
        <f>[1]!s_fa_yoynetprofit($A27,Y$1)</f>
        <v>6.51</v>
      </c>
    </row>
    <row r="28" spans="1:25">
      <c r="A28" s="1" t="s">
        <v>26</v>
      </c>
      <c r="B28" s="1" t="s">
        <v>69</v>
      </c>
      <c r="C28" s="3" t="str">
        <f ca="1">[1]!s_fa_yoynetprofit($A28,C$1)</f>
        <v>#N/A</v>
      </c>
      <c r="D28" s="3">
        <f>[1]!s_fa_yoynetprofit($A28,D$1)</f>
        <v>26.359100000000002</v>
      </c>
      <c r="E28" s="3">
        <f>[1]!s_fa_yoynetprofit($A28,E$1)</f>
        <v>866.14260000000002</v>
      </c>
      <c r="F28" s="3">
        <f>[1]!s_fa_yoynetprofit($A28,F$1)</f>
        <v>23.002600000000001</v>
      </c>
      <c r="G28" s="3">
        <f>[1]!s_fa_yoynetprofit($A28,G$1)</f>
        <v>-29.162199999999999</v>
      </c>
      <c r="H28" s="3">
        <f>[1]!s_fa_yoynetprofit($A28,H$1)</f>
        <v>-48.3812</v>
      </c>
      <c r="I28" s="3">
        <f>[1]!s_fa_yoynetprofit($A28,I$1)</f>
        <v>-127.6832</v>
      </c>
      <c r="J28" s="3">
        <f>[1]!s_fa_yoynetprofit($A28,J$1)</f>
        <v>-48.965800000000002</v>
      </c>
      <c r="K28" s="3">
        <f>[1]!s_fa_yoynetprofit($A28,K$1)</f>
        <v>9.4137000000000004</v>
      </c>
      <c r="L28" s="3">
        <f>[1]!s_fa_yoynetprofit($A28,L$1)</f>
        <v>29.7119</v>
      </c>
      <c r="M28" s="3">
        <f>[1]!s_fa_yoynetprofit($A28,M$1)</f>
        <v>57.808500000000002</v>
      </c>
      <c r="N28" s="3">
        <f>[1]!s_fa_yoynetprofit($A28,N$1)</f>
        <v>-43.977600000000002</v>
      </c>
      <c r="O28" s="3">
        <f>[1]!s_fa_yoynetprofit($A28,O$1)</f>
        <v>-0.26140000000000002</v>
      </c>
      <c r="P28" s="3">
        <f>[1]!s_fa_yoynetprofit($A28,P$1)</f>
        <v>5.7832999999999997</v>
      </c>
      <c r="Q28" s="3">
        <f>[1]!s_fa_yoynetprofit($A28,Q$1)</f>
        <v>0.94810000000000005</v>
      </c>
      <c r="R28" s="3">
        <f>[1]!s_fa_yoynetprofit($A28,R$1)</f>
        <v>-5.0876000000000001</v>
      </c>
      <c r="S28" s="3">
        <f>[1]!s_fa_yoynetprofit($A28,S$1)</f>
        <v>-17.445499999999999</v>
      </c>
      <c r="T28" s="3">
        <f>[1]!s_fa_yoynetprofit($A28,T$1)</f>
        <v>-27.475200000000001</v>
      </c>
      <c r="U28" s="3">
        <f>[1]!s_fa_yoynetprofit($A28,U$1)</f>
        <v>-56.930399999999999</v>
      </c>
      <c r="V28" s="3">
        <f>[1]!s_fa_yoynetprofit($A28,V$1)</f>
        <v>31.9299</v>
      </c>
      <c r="W28" s="3">
        <f>[1]!s_fa_yoynetprofit($A28,W$1)</f>
        <v>81.182500000000005</v>
      </c>
      <c r="X28" s="3">
        <f>[1]!s_fa_yoynetprofit($A28,X$1)</f>
        <v>72.757999999999996</v>
      </c>
      <c r="Y28" s="3">
        <f>[1]!s_fa_yoynetprofit($A28,Y$1)</f>
        <v>248.7628</v>
      </c>
    </row>
    <row r="29" spans="1:25">
      <c r="A29" s="1" t="s">
        <v>27</v>
      </c>
      <c r="B29" s="1" t="s">
        <v>70</v>
      </c>
      <c r="C29" s="3" t="str">
        <f ca="1">[1]!s_fa_yoynetprofit($A29,C$1)</f>
        <v>#N/A</v>
      </c>
      <c r="D29" s="3">
        <f>[1]!s_fa_yoynetprofit($A29,D$1)</f>
        <v>62.912700000000001</v>
      </c>
      <c r="E29" s="3">
        <f>[1]!s_fa_yoynetprofit($A29,E$1)</f>
        <v>83.951800000000006</v>
      </c>
      <c r="F29" s="3">
        <f>[1]!s_fa_yoynetprofit($A29,F$1)</f>
        <v>146.33090000000001</v>
      </c>
      <c r="G29" s="3">
        <f>[1]!s_fa_yoynetprofit($A29,G$1)</f>
        <v>-19.9617</v>
      </c>
      <c r="H29" s="3">
        <f>[1]!s_fa_yoynetprofit($A29,H$1)</f>
        <v>21.307600000000001</v>
      </c>
      <c r="I29" s="3">
        <f>[1]!s_fa_yoynetprofit($A29,I$1)</f>
        <v>-55.805199999999999</v>
      </c>
      <c r="J29" s="3">
        <f>[1]!s_fa_yoynetprofit($A29,J$1)</f>
        <v>-41.736699999999999</v>
      </c>
      <c r="K29" s="3">
        <f>[1]!s_fa_yoynetprofit($A29,K$1)</f>
        <v>-47.479199999999999</v>
      </c>
      <c r="L29" s="3">
        <f>[1]!s_fa_yoynetprofit($A29,L$1)</f>
        <v>-57.224699999999999</v>
      </c>
      <c r="M29" s="3">
        <f>[1]!s_fa_yoynetprofit($A29,M$1)</f>
        <v>-23.575299999999999</v>
      </c>
      <c r="N29" s="3">
        <f>[1]!s_fa_yoynetprofit($A29,N$1)</f>
        <v>-134.76240000000001</v>
      </c>
      <c r="O29" s="3">
        <f>[1]!s_fa_yoynetprofit($A29,O$1)</f>
        <v>-3.8965000000000001</v>
      </c>
      <c r="P29" s="3">
        <f>[1]!s_fa_yoynetprofit($A29,P$1)</f>
        <v>8.3999999999999995E-3</v>
      </c>
      <c r="Q29" s="3">
        <f>[1]!s_fa_yoynetprofit($A29,Q$1)</f>
        <v>5.9028999999999998</v>
      </c>
      <c r="R29" s="3">
        <f>[1]!s_fa_yoynetprofit($A29,R$1)</f>
        <v>-44.495899999999999</v>
      </c>
      <c r="S29" s="3">
        <f>[1]!s_fa_yoynetprofit($A29,S$1)</f>
        <v>0.61880000000000002</v>
      </c>
      <c r="T29" s="3">
        <f>[1]!s_fa_yoynetprofit($A29,T$1)</f>
        <v>15.385999999999999</v>
      </c>
      <c r="U29" s="3">
        <f>[1]!s_fa_yoynetprofit($A29,U$1)</f>
        <v>30.55</v>
      </c>
      <c r="V29" s="3">
        <f>[1]!s_fa_yoynetprofit($A29,V$1)</f>
        <v>16.868500000000001</v>
      </c>
      <c r="W29" s="3">
        <f>[1]!s_fa_yoynetprofit($A29,W$1)</f>
        <v>13.872299999999999</v>
      </c>
      <c r="X29" s="3">
        <f>[1]!s_fa_yoynetprofit($A29,X$1)</f>
        <v>6.984</v>
      </c>
      <c r="Y29" s="3">
        <f>[1]!s_fa_yoynetprofit($A29,Y$1)</f>
        <v>27.485600000000002</v>
      </c>
    </row>
    <row r="30" spans="1:25">
      <c r="A30" s="1" t="s">
        <v>28</v>
      </c>
      <c r="B30" s="1" t="s">
        <v>71</v>
      </c>
      <c r="C30" s="3" t="str">
        <f ca="1">[1]!s_fa_yoynetprofit($A30,C$1)</f>
        <v>#N/A</v>
      </c>
      <c r="D30" s="3">
        <f>[1]!s_fa_yoynetprofit($A30,D$1)</f>
        <v>118.4555</v>
      </c>
      <c r="E30" s="3">
        <f>[1]!s_fa_yoynetprofit($A30,E$1)</f>
        <v>108.9538</v>
      </c>
      <c r="F30" s="3">
        <f>[1]!s_fa_yoynetprofit($A30,F$1)</f>
        <v>-107.16840000000001</v>
      </c>
      <c r="G30" s="3">
        <f>[1]!s_fa_yoynetprofit($A30,G$1)</f>
        <v>-26.343499999999999</v>
      </c>
      <c r="H30" s="3">
        <f>[1]!s_fa_yoynetprofit($A30,H$1)</f>
        <v>-45.106900000000003</v>
      </c>
      <c r="I30" s="3">
        <f>[1]!s_fa_yoynetprofit($A30,I$1)</f>
        <v>-53.2029</v>
      </c>
      <c r="J30" s="3">
        <f>[1]!s_fa_yoynetprofit($A30,J$1)</f>
        <v>668.31050000000005</v>
      </c>
      <c r="K30" s="3">
        <f>[1]!s_fa_yoynetprofit($A30,K$1)</f>
        <v>15.376200000000001</v>
      </c>
      <c r="L30" s="3">
        <f>[1]!s_fa_yoynetprofit($A30,L$1)</f>
        <v>33.356099999999998</v>
      </c>
      <c r="M30" s="3">
        <f>[1]!s_fa_yoynetprofit($A30,M$1)</f>
        <v>64.698999999999998</v>
      </c>
      <c r="N30" s="3">
        <f>[1]!s_fa_yoynetprofit($A30,N$1)</f>
        <v>5.3882000000000003</v>
      </c>
      <c r="O30" s="3">
        <f>[1]!s_fa_yoynetprofit($A30,O$1)</f>
        <v>8.4901</v>
      </c>
      <c r="P30" s="3">
        <f>[1]!s_fa_yoynetprofit($A30,P$1)</f>
        <v>15.5624</v>
      </c>
      <c r="Q30" s="3">
        <f>[1]!s_fa_yoynetprofit($A30,Q$1)</f>
        <v>-58.578600000000002</v>
      </c>
      <c r="R30" s="3">
        <f>[1]!s_fa_yoynetprofit($A30,R$1)</f>
        <v>24.0367</v>
      </c>
      <c r="S30" s="3">
        <f>[1]!s_fa_yoynetprofit($A30,S$1)</f>
        <v>18.525300000000001</v>
      </c>
      <c r="T30" s="3">
        <f>[1]!s_fa_yoynetprofit($A30,T$1)</f>
        <v>25.362500000000001</v>
      </c>
      <c r="U30" s="3">
        <f>[1]!s_fa_yoynetprofit($A30,U$1)</f>
        <v>45.067399999999999</v>
      </c>
      <c r="V30" s="3">
        <f>[1]!s_fa_yoynetprofit($A30,V$1)</f>
        <v>109.78740000000001</v>
      </c>
      <c r="W30" s="3">
        <f>[1]!s_fa_yoynetprofit($A30,W$1)</f>
        <v>199.45869999999999</v>
      </c>
      <c r="X30" s="3">
        <f>[1]!s_fa_yoynetprofit($A30,X$1)</f>
        <v>200.6268</v>
      </c>
      <c r="Y30" s="3">
        <f>[1]!s_fa_yoynetprofit($A30,Y$1)</f>
        <v>79.009399999999999</v>
      </c>
    </row>
    <row r="31" spans="1:25">
      <c r="A31" s="1" t="s">
        <v>29</v>
      </c>
      <c r="B31" s="1" t="s">
        <v>72</v>
      </c>
      <c r="C31" s="3" t="str">
        <f ca="1">[1]!s_fa_yoynetprofit($A31,C$1)</f>
        <v>#N/A</v>
      </c>
      <c r="D31" s="3">
        <f>[1]!s_fa_yoynetprofit($A31,D$1)</f>
        <v>7.2765000000000004</v>
      </c>
      <c r="E31" s="3">
        <f>[1]!s_fa_yoynetprofit($A31,E$1)</f>
        <v>50.931600000000003</v>
      </c>
      <c r="F31" s="3">
        <f>[1]!s_fa_yoynetprofit($A31,F$1)</f>
        <v>15.328099999999999</v>
      </c>
      <c r="G31" s="3" t="str">
        <f>[1]!s_fa_yoynetprofit($A31,G$1)</f>
        <v>#N/A</v>
      </c>
      <c r="H31" s="3" t="str">
        <f>[1]!s_fa_yoynetprofit($A31,H$1)</f>
        <v>#N/A</v>
      </c>
      <c r="I31" s="3" t="str">
        <f>[1]!s_fa_yoynetprofit($A31,I$1)</f>
        <v>#N/A</v>
      </c>
      <c r="J31" s="3" t="str">
        <f>[1]!s_fa_yoynetprofit($A31,J$1)</f>
        <v>#N/A</v>
      </c>
      <c r="K31" s="3" t="str">
        <f>[1]!s_fa_yoynetprofit($A31,K$1)</f>
        <v>#N/A</v>
      </c>
      <c r="L31" s="3" t="str">
        <f>[1]!s_fa_yoynetprofit($A31,L$1)</f>
        <v>#N/A</v>
      </c>
      <c r="M31" s="3" t="str">
        <f>[1]!s_fa_yoynetprofit($A31,M$1)</f>
        <v>#N/A</v>
      </c>
      <c r="N31" s="3" t="str">
        <f>[1]!s_fa_yoynetprofit($A31,N$1)</f>
        <v>#N/A</v>
      </c>
      <c r="O31" s="3" t="str">
        <f>[1]!s_fa_yoynetprofit($A31,O$1)</f>
        <v>#N/A</v>
      </c>
      <c r="P31" s="3" t="str">
        <f>[1]!s_fa_yoynetprofit($A31,P$1)</f>
        <v>#N/A</v>
      </c>
      <c r="Q31" s="3" t="str">
        <f>[1]!s_fa_yoynetprofit($A31,Q$1)</f>
        <v>#N/A</v>
      </c>
      <c r="R31" s="3" t="str">
        <f>[1]!s_fa_yoynetprofit($A31,R$1)</f>
        <v>#N/A</v>
      </c>
      <c r="S31" s="3" t="str">
        <f>[1]!s_fa_yoynetprofit($A31,S$1)</f>
        <v>#N/A</v>
      </c>
      <c r="T31" s="3" t="str">
        <f>[1]!s_fa_yoynetprofit($A31,T$1)</f>
        <v>#N/A</v>
      </c>
      <c r="U31" s="3" t="str">
        <f>[1]!s_fa_yoynetprofit($A31,U$1)</f>
        <v>#N/A</v>
      </c>
      <c r="V31" s="3" t="str">
        <f>[1]!s_fa_yoynetprofit($A31,V$1)</f>
        <v>#N/A</v>
      </c>
      <c r="W31" s="3" t="str">
        <f>[1]!s_fa_yoynetprofit($A31,W$1)</f>
        <v>#N/A</v>
      </c>
      <c r="X31" s="3" t="str">
        <f>[1]!s_fa_yoynetprofit($A31,X$1)</f>
        <v>#N/A</v>
      </c>
      <c r="Y31" s="3" t="str">
        <f>[1]!s_fa_yoynetprofit($A31,Y$1)</f>
        <v>#N/A</v>
      </c>
    </row>
  </sheetData>
  <phoneticPr fontId="2" type="noConversion"/>
  <conditionalFormatting sqref="C2:Y24 C26:Y31 C25 E25:Y25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C1" display="归母净利润同比" xr:uid="{61010045-F719-AF48-BB29-2ECF8FEC7B9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69C58-9BED-464F-91EB-58D86069DE12}">
  <sheetPr codeName="Sheet8"/>
  <dimension ref="A1:Y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baseColWidth="10" defaultRowHeight="16"/>
  <cols>
    <col min="1" max="1" width="10.83203125" style="9"/>
    <col min="2" max="2" width="11.83203125" style="9" bestFit="1" customWidth="1"/>
    <col min="3" max="25" width="13.33203125" bestFit="1" customWidth="1"/>
  </cols>
  <sheetData>
    <row r="1" spans="1:25" s="7" customFormat="1">
      <c r="A1" s="13" t="s">
        <v>35</v>
      </c>
      <c r="B1" s="12">
        <f ca="1">TODAY()</f>
        <v>44440</v>
      </c>
      <c r="C1" s="10">
        <f ca="1">[1]!TDays("2016-01-01",B1,"Days=Alldays","Period=Q","Direction=H","Order=D","cols=23;rows=1")</f>
        <v>44440</v>
      </c>
      <c r="D1" s="11">
        <v>44377</v>
      </c>
      <c r="E1" s="11">
        <v>44286</v>
      </c>
      <c r="F1" s="11">
        <v>44196</v>
      </c>
      <c r="G1" s="11">
        <v>44104</v>
      </c>
      <c r="H1" s="11">
        <v>44012</v>
      </c>
      <c r="I1" s="11">
        <v>43921</v>
      </c>
      <c r="J1" s="11">
        <v>43830</v>
      </c>
      <c r="K1" s="11">
        <v>43738</v>
      </c>
      <c r="L1" s="11">
        <v>43646</v>
      </c>
      <c r="M1" s="11">
        <v>43555</v>
      </c>
      <c r="N1" s="11">
        <v>43465</v>
      </c>
      <c r="O1" s="11">
        <v>43373</v>
      </c>
      <c r="P1" s="11">
        <v>43281</v>
      </c>
      <c r="Q1" s="11">
        <v>43190</v>
      </c>
      <c r="R1" s="11">
        <v>43100</v>
      </c>
      <c r="S1" s="11">
        <v>43008</v>
      </c>
      <c r="T1" s="11">
        <v>42916</v>
      </c>
      <c r="U1" s="11">
        <v>42825</v>
      </c>
      <c r="V1" s="11">
        <v>42735</v>
      </c>
      <c r="W1" s="11">
        <v>42643</v>
      </c>
      <c r="X1" s="11">
        <v>42551</v>
      </c>
      <c r="Y1" s="11">
        <v>42460</v>
      </c>
    </row>
    <row r="2" spans="1:25">
      <c r="A2" s="8" t="s">
        <v>0</v>
      </c>
      <c r="B2" s="1" t="s">
        <v>43</v>
      </c>
      <c r="C2" s="3">
        <f ca="1">[1]!s_fa_roa($A2,C$1)</f>
        <v>2.7844000000000002</v>
      </c>
      <c r="D2" s="3">
        <f>[1]!s_fa_roa($A2,D$1)</f>
        <v>2.7844000000000002</v>
      </c>
      <c r="E2" s="3">
        <f>[1]!s_fa_roa($A2,E$1)</f>
        <v>1.3125</v>
      </c>
      <c r="F2" s="3">
        <f>[1]!s_fa_roa($A2,F$1)</f>
        <v>2.1364000000000001</v>
      </c>
      <c r="G2" s="3">
        <f>[1]!s_fa_roa($A2,G$1)</f>
        <v>1.4976</v>
      </c>
      <c r="H2" s="3">
        <f>[1]!s_fa_roa($A2,H$1)</f>
        <v>-0.49480000000000002</v>
      </c>
      <c r="I2" s="3">
        <f>[1]!s_fa_roa($A2,I$1)</f>
        <v>-0.50870000000000004</v>
      </c>
      <c r="J2" s="3">
        <f>[1]!s_fa_roa($A2,J$1)</f>
        <v>3.2454999999999998</v>
      </c>
      <c r="K2" s="3">
        <f>[1]!s_fa_roa($A2,K$1)</f>
        <v>2.5693000000000001</v>
      </c>
      <c r="L2" s="3">
        <f>[1]!s_fa_roa($A2,L$1)</f>
        <v>1.796</v>
      </c>
      <c r="M2" s="3">
        <f>[1]!s_fa_roa($A2,M$1)</f>
        <v>0.76219999999999999</v>
      </c>
      <c r="N2" s="3">
        <f>[1]!s_fa_roa($A2,N$1)</f>
        <v>3.6825000000000001</v>
      </c>
      <c r="O2" s="3">
        <f>[1]!s_fa_roa($A2,O$1)</f>
        <v>3.3891</v>
      </c>
      <c r="P2" s="3">
        <f>[1]!s_fa_roa($A2,P$1)</f>
        <v>2.1976</v>
      </c>
      <c r="Q2" s="3">
        <f>[1]!s_fa_roa($A2,Q$1)</f>
        <v>0.98250000000000004</v>
      </c>
      <c r="R2" s="3">
        <f>[1]!s_fa_roa($A2,R$1)</f>
        <v>2.6027999999999998</v>
      </c>
      <c r="S2" s="3">
        <f>[1]!s_fa_roa($A2,S$1)</f>
        <v>2.0609000000000002</v>
      </c>
      <c r="T2" s="3">
        <f>[1]!s_fa_roa($A2,T$1)</f>
        <v>1.4241999999999999</v>
      </c>
      <c r="U2" s="3">
        <f>[1]!s_fa_roa($A2,U$1)</f>
        <v>0.79620000000000002</v>
      </c>
      <c r="V2" s="3">
        <f>[1]!s_fa_roa($A2,V$1)</f>
        <v>2.125</v>
      </c>
      <c r="W2" s="3">
        <f>[1]!s_fa_roa($A2,W$1)</f>
        <v>1.4285000000000001</v>
      </c>
      <c r="X2" s="3">
        <f>[1]!s_fa_roa($A2,X$1)</f>
        <v>0.95269999999999999</v>
      </c>
      <c r="Y2" s="3">
        <f>[1]!s_fa_roa($A2,Y$1)</f>
        <v>3.7000000000000002E-3</v>
      </c>
    </row>
    <row r="3" spans="1:25">
      <c r="A3" s="8" t="s">
        <v>1</v>
      </c>
      <c r="B3" s="1" t="s">
        <v>44</v>
      </c>
      <c r="C3" s="3">
        <f ca="1">[1]!s_fa_roa($A3,C$1)</f>
        <v>4.0339</v>
      </c>
      <c r="D3" s="3">
        <f>[1]!s_fa_roa($A3,D$1)</f>
        <v>4.0339</v>
      </c>
      <c r="E3" s="3">
        <f>[1]!s_fa_roa($A3,E$1)</f>
        <v>1.8249</v>
      </c>
      <c r="F3" s="3">
        <f>[1]!s_fa_roa($A3,F$1)</f>
        <v>5.1688000000000001</v>
      </c>
      <c r="G3" s="3">
        <f>[1]!s_fa_roa($A3,G$1)</f>
        <v>4.2397999999999998</v>
      </c>
      <c r="H3" s="3">
        <f>[1]!s_fa_roa($A3,H$1)</f>
        <v>2.5632000000000001</v>
      </c>
      <c r="I3" s="3">
        <f>[1]!s_fa_roa($A3,I$1)</f>
        <v>1.1515</v>
      </c>
      <c r="J3" s="3">
        <f>[1]!s_fa_roa($A3,J$1)</f>
        <v>5.5453000000000001</v>
      </c>
      <c r="K3" s="3">
        <f>[1]!s_fa_roa($A3,K$1)</f>
        <v>4.9878999999999998</v>
      </c>
      <c r="L3" s="3">
        <f>[1]!s_fa_roa($A3,L$1)</f>
        <v>3.3748999999999998</v>
      </c>
      <c r="M3" s="3">
        <f>[1]!s_fa_roa($A3,M$1)</f>
        <v>1.6693</v>
      </c>
      <c r="N3" s="3">
        <f>[1]!s_fa_roa($A3,N$1)</f>
        <v>6.0671999999999997</v>
      </c>
      <c r="O3" s="3">
        <f>[1]!s_fa_roa($A3,O$1)</f>
        <v>5.0145</v>
      </c>
      <c r="P3" s="3">
        <f>[1]!s_fa_roa($A3,P$1)</f>
        <v>3.3727999999999998</v>
      </c>
      <c r="Q3" s="3">
        <f>[1]!s_fa_roa($A3,Q$1)</f>
        <v>1.6959</v>
      </c>
      <c r="R3" s="3">
        <f>[1]!s_fa_roa($A3,R$1)</f>
        <v>5.8296999999999999</v>
      </c>
      <c r="S3" s="3">
        <f>[1]!s_fa_roa($A3,S$1)</f>
        <v>4.6387999999999998</v>
      </c>
      <c r="T3" s="3">
        <f>[1]!s_fa_roa($A3,T$1)</f>
        <v>3.1263999999999998</v>
      </c>
      <c r="U3" s="3">
        <f>[1]!s_fa_roa($A3,U$1)</f>
        <v>1.5972</v>
      </c>
      <c r="V3" s="3">
        <f>[1]!s_fa_roa($A3,V$1)</f>
        <v>2.5004</v>
      </c>
      <c r="W3" s="3">
        <f>[1]!s_fa_roa($A3,W$1)</f>
        <v>1.4488000000000001</v>
      </c>
      <c r="X3" s="3">
        <f>[1]!s_fa_roa($A3,X$1)</f>
        <v>0.77910000000000001</v>
      </c>
      <c r="Y3" s="3">
        <f>[1]!s_fa_roa($A3,Y$1)</f>
        <v>0.31769999999999998</v>
      </c>
    </row>
    <row r="4" spans="1:25">
      <c r="A4" s="8" t="s">
        <v>2</v>
      </c>
      <c r="B4" s="1" t="s">
        <v>45</v>
      </c>
      <c r="C4" s="3">
        <f ca="1">[1]!s_fa_roa($A4,C$1)</f>
        <v>2.8994</v>
      </c>
      <c r="D4" s="3">
        <f>[1]!s_fa_roa($A4,D$1)</f>
        <v>2.8994</v>
      </c>
      <c r="E4" s="3">
        <f>[1]!s_fa_roa($A4,E$1)</f>
        <v>1.1317999999999999</v>
      </c>
      <c r="F4" s="3">
        <f>[1]!s_fa_roa($A4,F$1)</f>
        <v>2.6354000000000002</v>
      </c>
      <c r="G4" s="3">
        <f>[1]!s_fa_roa($A4,G$1)</f>
        <v>1.7298</v>
      </c>
      <c r="H4" s="3">
        <f>[1]!s_fa_roa($A4,H$1)</f>
        <v>0.88619999999999999</v>
      </c>
      <c r="I4" s="3">
        <f>[1]!s_fa_roa($A4,I$1)</f>
        <v>0.30759999999999998</v>
      </c>
      <c r="J4" s="3">
        <f>[1]!s_fa_roa($A4,J$1)</f>
        <v>0.79890000000000005</v>
      </c>
      <c r="K4" s="3">
        <f>[1]!s_fa_roa($A4,K$1)</f>
        <v>1.7403</v>
      </c>
      <c r="L4" s="3">
        <f>[1]!s_fa_roa($A4,L$1)</f>
        <v>1.1779999999999999</v>
      </c>
      <c r="M4" s="3">
        <f>[1]!s_fa_roa($A4,M$1)</f>
        <v>0.54790000000000005</v>
      </c>
      <c r="N4" s="3">
        <f>[1]!s_fa_roa($A4,N$1)</f>
        <v>1.2983</v>
      </c>
      <c r="O4" s="3">
        <f>[1]!s_fa_roa($A4,O$1)</f>
        <v>2.5026000000000002</v>
      </c>
      <c r="P4" s="3">
        <f>[1]!s_fa_roa($A4,P$1)</f>
        <v>1.7585999999999999</v>
      </c>
      <c r="Q4" s="3">
        <f>[1]!s_fa_roa($A4,Q$1)</f>
        <v>0.84379999999999999</v>
      </c>
      <c r="R4" s="3">
        <f>[1]!s_fa_roa($A4,R$1)</f>
        <v>2.8954</v>
      </c>
      <c r="S4" s="3">
        <f>[1]!s_fa_roa($A4,S$1)</f>
        <v>2.452</v>
      </c>
      <c r="T4" s="3">
        <f>[1]!s_fa_roa($A4,T$1)</f>
        <v>1.4945999999999999</v>
      </c>
      <c r="U4" s="3">
        <f>[1]!s_fa_roa($A4,U$1)</f>
        <v>0.71399999999999997</v>
      </c>
      <c r="V4" s="3">
        <f>[1]!s_fa_roa($A4,V$1)</f>
        <v>1.7133</v>
      </c>
      <c r="W4" s="3">
        <f>[1]!s_fa_roa($A4,W$1)</f>
        <v>1.2894000000000001</v>
      </c>
      <c r="X4" s="3">
        <f>[1]!s_fa_roa($A4,X$1)</f>
        <v>0.71</v>
      </c>
      <c r="Y4" s="3">
        <f>[1]!s_fa_roa($A4,Y$1)</f>
        <v>0.2016</v>
      </c>
    </row>
    <row r="5" spans="1:25">
      <c r="A5" s="8" t="s">
        <v>3</v>
      </c>
      <c r="B5" s="1" t="s">
        <v>46</v>
      </c>
      <c r="C5" s="3">
        <f ca="1">[1]!s_fa_roa($A5,C$1)</f>
        <v>1.6133999999999999</v>
      </c>
      <c r="D5" s="3">
        <f>[1]!s_fa_roa($A5,D$1)</f>
        <v>1.6133999999999999</v>
      </c>
      <c r="E5" s="3">
        <f>[1]!s_fa_roa($A5,E$1)</f>
        <v>0.78400000000000003</v>
      </c>
      <c r="F5" s="3">
        <f>[1]!s_fa_roa($A5,F$1)</f>
        <v>3.0882000000000001</v>
      </c>
      <c r="G5" s="3">
        <f>[1]!s_fa_roa($A5,G$1)</f>
        <v>2.8132000000000001</v>
      </c>
      <c r="H5" s="3">
        <f>[1]!s_fa_roa($A5,H$1)</f>
        <v>1.5724</v>
      </c>
      <c r="I5" s="3">
        <f>[1]!s_fa_roa($A5,I$1)</f>
        <v>0.51819999999999999</v>
      </c>
      <c r="J5" s="3">
        <f>[1]!s_fa_roa($A5,J$1)</f>
        <v>2.5114999999999998</v>
      </c>
      <c r="K5" s="3">
        <f>[1]!s_fa_roa($A5,K$1)</f>
        <v>2.3250000000000002</v>
      </c>
      <c r="L5" s="3">
        <f>[1]!s_fa_roa($A5,L$1)</f>
        <v>1.4132</v>
      </c>
      <c r="M5" s="3">
        <f>[1]!s_fa_roa($A5,M$1)</f>
        <v>0.73070000000000002</v>
      </c>
      <c r="N5" s="3">
        <f>[1]!s_fa_roa($A5,N$1)</f>
        <v>2.2507999999999999</v>
      </c>
      <c r="O5" s="3">
        <f>[1]!s_fa_roa($A5,O$1)</f>
        <v>2.1334</v>
      </c>
      <c r="P5" s="3">
        <f>[1]!s_fa_roa($A5,P$1)</f>
        <v>1.3301000000000001</v>
      </c>
      <c r="Q5" s="3">
        <f>[1]!s_fa_roa($A5,Q$1)</f>
        <v>0.62180000000000002</v>
      </c>
      <c r="R5" s="3">
        <f>[1]!s_fa_roa($A5,R$1)</f>
        <v>2.4329000000000001</v>
      </c>
      <c r="S5" s="3">
        <f>[1]!s_fa_roa($A5,S$1)</f>
        <v>2.2006999999999999</v>
      </c>
      <c r="T5" s="3">
        <f>[1]!s_fa_roa($A5,T$1)</f>
        <v>1.2107000000000001</v>
      </c>
      <c r="U5" s="3">
        <f>[1]!s_fa_roa($A5,U$1)</f>
        <v>0.55430000000000001</v>
      </c>
      <c r="V5" s="3">
        <f>[1]!s_fa_roa($A5,V$1)</f>
        <v>3.6046999999999998</v>
      </c>
      <c r="W5" s="3">
        <f>[1]!s_fa_roa($A5,W$1)</f>
        <v>3.1854</v>
      </c>
      <c r="X5" s="3">
        <f>[1]!s_fa_roa($A5,X$1)</f>
        <v>2.0125999999999999</v>
      </c>
      <c r="Y5" s="3">
        <f>[1]!s_fa_roa($A5,Y$1)</f>
        <v>0.97240000000000004</v>
      </c>
    </row>
    <row r="6" spans="1:25">
      <c r="A6" s="8" t="s">
        <v>4</v>
      </c>
      <c r="B6" s="1" t="s">
        <v>47</v>
      </c>
      <c r="C6" s="3">
        <f ca="1">[1]!s_fa_roa($A6,C$1)</f>
        <v>4.0180999999999996</v>
      </c>
      <c r="D6" s="3">
        <f>[1]!s_fa_roa($A6,D$1)</f>
        <v>4.0180999999999996</v>
      </c>
      <c r="E6" s="3">
        <f>[1]!s_fa_roa($A6,E$1)</f>
        <v>1.4326000000000001</v>
      </c>
      <c r="F6" s="3">
        <f>[1]!s_fa_roa($A6,F$1)</f>
        <v>3.3797999999999999</v>
      </c>
      <c r="G6" s="3">
        <f>[1]!s_fa_roa($A6,G$1)</f>
        <v>2.3967000000000001</v>
      </c>
      <c r="H6" s="3">
        <f>[1]!s_fa_roa($A6,H$1)</f>
        <v>1.3229</v>
      </c>
      <c r="I6" s="3">
        <f>[1]!s_fa_roa($A6,I$1)</f>
        <v>0.44219999999999998</v>
      </c>
      <c r="J6" s="3">
        <f>[1]!s_fa_roa($A6,J$1)</f>
        <v>3.5150000000000001</v>
      </c>
      <c r="K6" s="3">
        <f>[1]!s_fa_roa($A6,K$1)</f>
        <v>2.7801</v>
      </c>
      <c r="L6" s="3">
        <f>[1]!s_fa_roa($A6,L$1)</f>
        <v>1.9245000000000001</v>
      </c>
      <c r="M6" s="3">
        <f>[1]!s_fa_roa($A6,M$1)</f>
        <v>0.7611</v>
      </c>
      <c r="N6" s="3">
        <f>[1]!s_fa_roa($A6,N$1)</f>
        <v>6.1379000000000001</v>
      </c>
      <c r="O6" s="3">
        <f>[1]!s_fa_roa($A6,O$1)</f>
        <v>5.0193000000000003</v>
      </c>
      <c r="P6" s="3">
        <f>[1]!s_fa_roa($A6,P$1)</f>
        <v>3.1328</v>
      </c>
      <c r="Q6" s="3">
        <f>[1]!s_fa_roa($A6,Q$1)</f>
        <v>1.3448</v>
      </c>
      <c r="R6" s="3">
        <f>[1]!s_fa_roa($A6,R$1)</f>
        <v>4.7037000000000004</v>
      </c>
      <c r="S6" s="3">
        <f>[1]!s_fa_roa($A6,S$1)</f>
        <v>2.9784999999999999</v>
      </c>
      <c r="T6" s="3">
        <f>[1]!s_fa_roa($A6,T$1)</f>
        <v>1.4081999999999999</v>
      </c>
      <c r="U6" s="3">
        <f>[1]!s_fa_roa($A6,U$1)</f>
        <v>0.71540000000000004</v>
      </c>
      <c r="V6" s="3">
        <f>[1]!s_fa_roa($A6,V$1)</f>
        <v>0.52729999999999999</v>
      </c>
      <c r="W6" s="3">
        <f>[1]!s_fa_roa($A6,W$1)</f>
        <v>0.43919999999999998</v>
      </c>
      <c r="X6" s="3">
        <f>[1]!s_fa_roa($A6,X$1)</f>
        <v>0.16250000000000001</v>
      </c>
      <c r="Y6" s="3">
        <f>[1]!s_fa_roa($A6,Y$1)</f>
        <v>-0.2465</v>
      </c>
    </row>
    <row r="7" spans="1:25">
      <c r="A7" s="8" t="s">
        <v>5</v>
      </c>
      <c r="B7" s="1" t="s">
        <v>48</v>
      </c>
      <c r="C7" s="3">
        <f ca="1">[1]!s_fa_roa($A7,C$1)</f>
        <v>4.5972</v>
      </c>
      <c r="D7" s="3">
        <f>[1]!s_fa_roa($A7,D$1)</f>
        <v>4.5972</v>
      </c>
      <c r="E7" s="3">
        <f>[1]!s_fa_roa($A7,E$1)</f>
        <v>1.9231</v>
      </c>
      <c r="F7" s="3">
        <f>[1]!s_fa_roa($A7,F$1)</f>
        <v>3.6253000000000002</v>
      </c>
      <c r="G7" s="3">
        <f>[1]!s_fa_roa($A7,G$1)</f>
        <v>3.1545999999999998</v>
      </c>
      <c r="H7" s="3">
        <f>[1]!s_fa_roa($A7,H$1)</f>
        <v>1.9430000000000001</v>
      </c>
      <c r="I7" s="3">
        <f>[1]!s_fa_roa($A7,I$1)</f>
        <v>0.64100000000000001</v>
      </c>
      <c r="J7" s="3">
        <f>[1]!s_fa_roa($A7,J$1)</f>
        <v>1.1871</v>
      </c>
      <c r="K7" s="3">
        <f>[1]!s_fa_roa($A7,K$1)</f>
        <v>3.4318</v>
      </c>
      <c r="L7" s="3">
        <f>[1]!s_fa_roa($A7,L$1)</f>
        <v>2.4058000000000002</v>
      </c>
      <c r="M7" s="3">
        <f>[1]!s_fa_roa($A7,M$1)</f>
        <v>1.1051</v>
      </c>
      <c r="N7" s="3">
        <f>[1]!s_fa_roa($A7,N$1)</f>
        <v>5.0350999999999999</v>
      </c>
      <c r="O7" s="3">
        <f>[1]!s_fa_roa($A7,O$1)</f>
        <v>4.6627999999999998</v>
      </c>
      <c r="P7" s="3">
        <f>[1]!s_fa_roa($A7,P$1)</f>
        <v>3.2717000000000001</v>
      </c>
      <c r="Q7" s="3">
        <f>[1]!s_fa_roa($A7,Q$1)</f>
        <v>1.4736</v>
      </c>
      <c r="R7" s="3">
        <f>[1]!s_fa_roa($A7,R$1)</f>
        <v>3.9878999999999998</v>
      </c>
      <c r="S7" s="3">
        <f>[1]!s_fa_roa($A7,S$1)</f>
        <v>3.6065</v>
      </c>
      <c r="T7" s="3">
        <f>[1]!s_fa_roa($A7,T$1)</f>
        <v>2.3561999999999999</v>
      </c>
      <c r="U7" s="3">
        <f>[1]!s_fa_roa($A7,U$1)</f>
        <v>1.1047</v>
      </c>
      <c r="V7" s="3">
        <f>[1]!s_fa_roa($A7,V$1)</f>
        <v>1.7483</v>
      </c>
      <c r="W7" s="3">
        <f>[1]!s_fa_roa($A7,W$1)</f>
        <v>1.5935999999999999</v>
      </c>
      <c r="X7" s="3">
        <f>[1]!s_fa_roa($A7,X$1)</f>
        <v>1.1901999999999999</v>
      </c>
      <c r="Y7" s="3">
        <f>[1]!s_fa_roa($A7,Y$1)</f>
        <v>0.4894</v>
      </c>
    </row>
    <row r="8" spans="1:25">
      <c r="A8" s="8" t="s">
        <v>6</v>
      </c>
      <c r="B8" s="1" t="s">
        <v>49</v>
      </c>
      <c r="C8" s="3">
        <f ca="1">[1]!s_fa_roa($A8,C$1)</f>
        <v>1.1638999999999999</v>
      </c>
      <c r="D8" s="3">
        <f>[1]!s_fa_roa($A8,D$1)</f>
        <v>1.1638999999999999</v>
      </c>
      <c r="E8" s="3">
        <f>[1]!s_fa_roa($A8,E$1)</f>
        <v>0.48909999999999998</v>
      </c>
      <c r="F8" s="3">
        <f>[1]!s_fa_roa($A8,F$1)</f>
        <v>2.2378999999999998</v>
      </c>
      <c r="G8" s="3">
        <f>[1]!s_fa_roa($A8,G$1)</f>
        <v>1.5610999999999999</v>
      </c>
      <c r="H8" s="3">
        <f>[1]!s_fa_roa($A8,H$1)</f>
        <v>1.0066999999999999</v>
      </c>
      <c r="I8" s="3">
        <f>[1]!s_fa_roa($A8,I$1)</f>
        <v>0.32350000000000001</v>
      </c>
      <c r="J8" s="3">
        <f>[1]!s_fa_roa($A8,J$1)</f>
        <v>2.2938000000000001</v>
      </c>
      <c r="K8" s="3">
        <f>[1]!s_fa_roa($A8,K$1)</f>
        <v>1.7097</v>
      </c>
      <c r="L8" s="3">
        <f>[1]!s_fa_roa($A8,L$1)</f>
        <v>1.1838</v>
      </c>
      <c r="M8" s="3">
        <f>[1]!s_fa_roa($A8,M$1)</f>
        <v>0.4919</v>
      </c>
      <c r="N8" s="3">
        <f>[1]!s_fa_roa($A8,N$1)</f>
        <v>2.3993000000000002</v>
      </c>
      <c r="O8" s="3">
        <f>[1]!s_fa_roa($A8,O$1)</f>
        <v>1.7176</v>
      </c>
      <c r="P8" s="3">
        <f>[1]!s_fa_roa($A8,P$1)</f>
        <v>1.2148000000000001</v>
      </c>
      <c r="Q8" s="3">
        <f>[1]!s_fa_roa($A8,Q$1)</f>
        <v>0.48559999999999998</v>
      </c>
      <c r="R8" s="3">
        <f>[1]!s_fa_roa($A8,R$1)</f>
        <v>2.4740000000000002</v>
      </c>
      <c r="S8" s="3">
        <f>[1]!s_fa_roa($A8,S$1)</f>
        <v>1.7048000000000001</v>
      </c>
      <c r="T8" s="3">
        <f>[1]!s_fa_roa($A8,T$1)</f>
        <v>1.1682999999999999</v>
      </c>
      <c r="U8" s="3">
        <f>[1]!s_fa_roa($A8,U$1)</f>
        <v>0.45850000000000002</v>
      </c>
      <c r="V8" s="3">
        <f>[1]!s_fa_roa($A8,V$1)</f>
        <v>2.351</v>
      </c>
      <c r="W8" s="3">
        <f>[1]!s_fa_roa($A8,W$1)</f>
        <v>1.7098</v>
      </c>
      <c r="X8" s="3">
        <f>[1]!s_fa_roa($A8,X$1)</f>
        <v>1.1423000000000001</v>
      </c>
      <c r="Y8" s="3">
        <f>[1]!s_fa_roa($A8,Y$1)</f>
        <v>0.46279999999999999</v>
      </c>
    </row>
    <row r="9" spans="1:25">
      <c r="A9" s="8" t="s">
        <v>7</v>
      </c>
      <c r="B9" s="1" t="s">
        <v>50</v>
      </c>
      <c r="C9" s="3">
        <f ca="1">[1]!s_fa_roa($A9,C$1)</f>
        <v>5.2138999999999998</v>
      </c>
      <c r="D9" s="3">
        <f>[1]!s_fa_roa($A9,D$1)</f>
        <v>5.2138999999999998</v>
      </c>
      <c r="E9" s="3">
        <f>[1]!s_fa_roa($A9,E$1)</f>
        <v>1.7434000000000001</v>
      </c>
      <c r="F9" s="3">
        <f>[1]!s_fa_roa($A9,F$1)</f>
        <v>10.4368</v>
      </c>
      <c r="G9" s="3">
        <f>[1]!s_fa_roa($A9,G$1)</f>
        <v>7.7164999999999999</v>
      </c>
      <c r="H9" s="3">
        <f>[1]!s_fa_roa($A9,H$1)</f>
        <v>4.5567000000000002</v>
      </c>
      <c r="I9" s="3">
        <f>[1]!s_fa_roa($A9,I$1)</f>
        <v>0.97640000000000005</v>
      </c>
      <c r="J9" s="3">
        <f>[1]!s_fa_roa($A9,J$1)</f>
        <v>9.8216000000000001</v>
      </c>
      <c r="K9" s="3">
        <f>[1]!s_fa_roa($A9,K$1)</f>
        <v>8.0816999999999997</v>
      </c>
      <c r="L9" s="3">
        <f>[1]!s_fa_roa($A9,L$1)</f>
        <v>4.9686000000000003</v>
      </c>
      <c r="M9" s="3">
        <f>[1]!s_fa_roa($A9,M$1)</f>
        <v>1.7322</v>
      </c>
      <c r="N9" s="3">
        <f>[1]!s_fa_roa($A9,N$1)</f>
        <v>10.3895</v>
      </c>
      <c r="O9" s="3">
        <f>[1]!s_fa_roa($A9,O$1)</f>
        <v>8.0541</v>
      </c>
      <c r="P9" s="3">
        <f>[1]!s_fa_roa($A9,P$1)</f>
        <v>5.0835999999999997</v>
      </c>
      <c r="Q9" s="3">
        <f>[1]!s_fa_roa($A9,Q$1)</f>
        <v>1.5899000000000001</v>
      </c>
      <c r="R9" s="3">
        <f>[1]!s_fa_roa($A9,R$1)</f>
        <v>6.6087999999999996</v>
      </c>
      <c r="S9" s="3">
        <f>[1]!s_fa_roa($A9,S$1)</f>
        <v>4.3147000000000002</v>
      </c>
      <c r="T9" s="3">
        <f>[1]!s_fa_roa($A9,T$1)</f>
        <v>2.4159000000000002</v>
      </c>
      <c r="U9" s="3">
        <f>[1]!s_fa_roa($A9,U$1)</f>
        <v>0.53669999999999995</v>
      </c>
      <c r="V9" s="3">
        <f>[1]!s_fa_roa($A9,V$1)</f>
        <v>3.6802000000000001</v>
      </c>
      <c r="W9" s="3">
        <f>[1]!s_fa_roa($A9,W$1)</f>
        <v>2.5243000000000002</v>
      </c>
      <c r="X9" s="3">
        <f>[1]!s_fa_roa($A9,X$1)</f>
        <v>1.2138</v>
      </c>
      <c r="Y9" s="3">
        <f>[1]!s_fa_roa($A9,Y$1)</f>
        <v>8.8700000000000001E-2</v>
      </c>
    </row>
    <row r="10" spans="1:25">
      <c r="A10" s="8" t="s">
        <v>8</v>
      </c>
      <c r="B10" s="1" t="s">
        <v>51</v>
      </c>
      <c r="C10" s="3">
        <f ca="1">[1]!s_fa_roa($A10,C$1)</f>
        <v>3.1890999999999998</v>
      </c>
      <c r="D10" s="3">
        <f>[1]!s_fa_roa($A10,D$1)</f>
        <v>3.1890999999999998</v>
      </c>
      <c r="E10" s="3">
        <f>[1]!s_fa_roa($A10,E$1)</f>
        <v>1.5317000000000001</v>
      </c>
      <c r="F10" s="3">
        <f>[1]!s_fa_roa($A10,F$1)</f>
        <v>4.9474999999999998</v>
      </c>
      <c r="G10" s="3">
        <f>[1]!s_fa_roa($A10,G$1)</f>
        <v>3.3895</v>
      </c>
      <c r="H10" s="3">
        <f>[1]!s_fa_roa($A10,H$1)</f>
        <v>1.8261000000000001</v>
      </c>
      <c r="I10" s="3">
        <f>[1]!s_fa_roa($A10,I$1)</f>
        <v>0.61380000000000001</v>
      </c>
      <c r="J10" s="3">
        <f>[1]!s_fa_roa($A10,J$1)</f>
        <v>4.6745000000000001</v>
      </c>
      <c r="K10" s="3">
        <f>[1]!s_fa_roa($A10,K$1)</f>
        <v>3.8161999999999998</v>
      </c>
      <c r="L10" s="3">
        <f>[1]!s_fa_roa($A10,L$1)</f>
        <v>2.3212999999999999</v>
      </c>
      <c r="M10" s="3">
        <f>[1]!s_fa_roa($A10,M$1)</f>
        <v>0.97760000000000002</v>
      </c>
      <c r="N10" s="3">
        <f>[1]!s_fa_roa($A10,N$1)</f>
        <v>5.2243000000000004</v>
      </c>
      <c r="O10" s="3">
        <f>[1]!s_fa_roa($A10,O$1)</f>
        <v>4.6028000000000002</v>
      </c>
      <c r="P10" s="3">
        <f>[1]!s_fa_roa($A10,P$1)</f>
        <v>2.9992999999999999</v>
      </c>
      <c r="Q10" s="3">
        <f>[1]!s_fa_roa($A10,Q$1)</f>
        <v>1.1884999999999999</v>
      </c>
      <c r="R10" s="3">
        <f>[1]!s_fa_roa($A10,R$1)</f>
        <v>5.8513000000000002</v>
      </c>
      <c r="S10" s="3">
        <f>[1]!s_fa_roa($A10,S$1)</f>
        <v>4.4385000000000003</v>
      </c>
      <c r="T10" s="3">
        <f>[1]!s_fa_roa($A10,T$1)</f>
        <v>2.8435999999999999</v>
      </c>
      <c r="U10" s="3">
        <f>[1]!s_fa_roa($A10,U$1)</f>
        <v>1.3098000000000001</v>
      </c>
      <c r="V10" s="3">
        <f>[1]!s_fa_roa($A10,V$1)</f>
        <v>3.8645999999999998</v>
      </c>
      <c r="W10" s="3">
        <f>[1]!s_fa_roa($A10,W$1)</f>
        <v>2.6665999999999999</v>
      </c>
      <c r="X10" s="3">
        <f>[1]!s_fa_roa($A10,X$1)</f>
        <v>1.6621999999999999</v>
      </c>
      <c r="Y10" s="3">
        <f>[1]!s_fa_roa($A10,Y$1)</f>
        <v>0.7913</v>
      </c>
    </row>
    <row r="11" spans="1:25">
      <c r="A11" s="8" t="s">
        <v>9</v>
      </c>
      <c r="B11" s="1" t="s">
        <v>52</v>
      </c>
      <c r="C11" s="3">
        <f ca="1">[1]!s_fa_roa($A11,C$1)</f>
        <v>2.4401000000000002</v>
      </c>
      <c r="D11" s="3">
        <f>[1]!s_fa_roa($A11,D$1)</f>
        <v>2.4401000000000002</v>
      </c>
      <c r="E11" s="3">
        <f>[1]!s_fa_roa($A11,E$1)</f>
        <v>1.0468999999999999</v>
      </c>
      <c r="F11" s="3">
        <f>[1]!s_fa_roa($A11,F$1)</f>
        <v>3.6233</v>
      </c>
      <c r="G11" s="3">
        <f>[1]!s_fa_roa($A11,G$1)</f>
        <v>2.9485000000000001</v>
      </c>
      <c r="H11" s="3">
        <f>[1]!s_fa_roa($A11,H$1)</f>
        <v>1.8312999999999999</v>
      </c>
      <c r="I11" s="3">
        <f>[1]!s_fa_roa($A11,I$1)</f>
        <v>0.41099999999999998</v>
      </c>
      <c r="J11" s="3">
        <f>[1]!s_fa_roa($A11,J$1)</f>
        <v>2.5392000000000001</v>
      </c>
      <c r="K11" s="3">
        <f>[1]!s_fa_roa($A11,K$1)</f>
        <v>2.3426</v>
      </c>
      <c r="L11" s="3">
        <f>[1]!s_fa_roa($A11,L$1)</f>
        <v>1.6298999999999999</v>
      </c>
      <c r="M11" s="3">
        <f>[1]!s_fa_roa($A11,M$1)</f>
        <v>0.70679999999999998</v>
      </c>
      <c r="N11" s="3">
        <f>[1]!s_fa_roa($A11,N$1)</f>
        <v>1.2450000000000001</v>
      </c>
      <c r="O11" s="3">
        <f>[1]!s_fa_roa($A11,O$1)</f>
        <v>2.0434999999999999</v>
      </c>
      <c r="P11" s="3">
        <f>[1]!s_fa_roa($A11,P$1)</f>
        <v>1.3098000000000001</v>
      </c>
      <c r="Q11" s="3">
        <f>[1]!s_fa_roa($A11,Q$1)</f>
        <v>0.57620000000000005</v>
      </c>
      <c r="R11" s="3">
        <f>[1]!s_fa_roa($A11,R$1)</f>
        <v>2.944</v>
      </c>
      <c r="S11" s="3">
        <f>[1]!s_fa_roa($A11,S$1)</f>
        <v>2.1703000000000001</v>
      </c>
      <c r="T11" s="3">
        <f>[1]!s_fa_roa($A11,T$1)</f>
        <v>1.3634999999999999</v>
      </c>
      <c r="U11" s="3">
        <f>[1]!s_fa_roa($A11,U$1)</f>
        <v>0.49490000000000001</v>
      </c>
      <c r="V11" s="3">
        <f>[1]!s_fa_roa($A11,V$1)</f>
        <v>1.6020000000000001</v>
      </c>
      <c r="W11" s="3">
        <f>[1]!s_fa_roa($A11,W$1)</f>
        <v>0.94499999999999995</v>
      </c>
      <c r="X11" s="3">
        <f>[1]!s_fa_roa($A11,X$1)</f>
        <v>0.60719999999999996</v>
      </c>
      <c r="Y11" s="3">
        <f>[1]!s_fa_roa($A11,Y$1)</f>
        <v>0.24379999999999999</v>
      </c>
    </row>
    <row r="12" spans="1:25">
      <c r="A12" s="8" t="s">
        <v>10</v>
      </c>
      <c r="B12" s="1" t="s">
        <v>53</v>
      </c>
      <c r="C12" s="3">
        <f ca="1">[1]!s_fa_roa($A12,C$1)</f>
        <v>2.0674000000000001</v>
      </c>
      <c r="D12" s="3">
        <f>[1]!s_fa_roa($A12,D$1)</f>
        <v>2.0674000000000001</v>
      </c>
      <c r="E12" s="3">
        <f>[1]!s_fa_roa($A12,E$1)</f>
        <v>1.0344</v>
      </c>
      <c r="F12" s="3">
        <f>[1]!s_fa_roa($A12,F$1)</f>
        <v>3.2993999999999999</v>
      </c>
      <c r="G12" s="3">
        <f>[1]!s_fa_roa($A12,G$1)</f>
        <v>2.7635999999999998</v>
      </c>
      <c r="H12" s="3">
        <f>[1]!s_fa_roa($A12,H$1)</f>
        <v>1.5983000000000001</v>
      </c>
      <c r="I12" s="3">
        <f>[1]!s_fa_roa($A12,I$1)</f>
        <v>0.45639999999999997</v>
      </c>
      <c r="J12" s="3">
        <f>[1]!s_fa_roa($A12,J$1)</f>
        <v>2.3376999999999999</v>
      </c>
      <c r="K12" s="3">
        <f>[1]!s_fa_roa($A12,K$1)</f>
        <v>2.2690000000000001</v>
      </c>
      <c r="L12" s="3">
        <f>[1]!s_fa_roa($A12,L$1)</f>
        <v>1.4837</v>
      </c>
      <c r="M12" s="3">
        <f>[1]!s_fa_roa($A12,M$1)</f>
        <v>0.51959999999999995</v>
      </c>
      <c r="N12" s="3">
        <f>[1]!s_fa_roa($A12,N$1)</f>
        <v>2.3755000000000002</v>
      </c>
      <c r="O12" s="3">
        <f>[1]!s_fa_roa($A12,O$1)</f>
        <v>2.3003</v>
      </c>
      <c r="P12" s="3">
        <f>[1]!s_fa_roa($A12,P$1)</f>
        <v>1.5522</v>
      </c>
      <c r="Q12" s="3">
        <f>[1]!s_fa_roa($A12,Q$1)</f>
        <v>0.50249999999999995</v>
      </c>
      <c r="R12" s="3">
        <f>[1]!s_fa_roa($A12,R$1)</f>
        <v>3.5053000000000001</v>
      </c>
      <c r="S12" s="3">
        <f>[1]!s_fa_roa($A12,S$1)</f>
        <v>2.5478999999999998</v>
      </c>
      <c r="T12" s="3">
        <f>[1]!s_fa_roa($A12,T$1)</f>
        <v>1.6046</v>
      </c>
      <c r="U12" s="3">
        <f>[1]!s_fa_roa($A12,U$1)</f>
        <v>0.50139999999999996</v>
      </c>
      <c r="V12" s="3">
        <f>[1]!s_fa_roa($A12,V$1)</f>
        <v>3.0798000000000001</v>
      </c>
      <c r="W12" s="3">
        <f>[1]!s_fa_roa($A12,W$1)</f>
        <v>2.3837999999999999</v>
      </c>
      <c r="X12" s="3">
        <f>[1]!s_fa_roa($A12,X$1)</f>
        <v>1.6349</v>
      </c>
      <c r="Y12" s="3">
        <f>[1]!s_fa_roa($A12,Y$1)</f>
        <v>0.62150000000000005</v>
      </c>
    </row>
    <row r="13" spans="1:25">
      <c r="A13" s="8" t="s">
        <v>11</v>
      </c>
      <c r="B13" s="1" t="s">
        <v>54</v>
      </c>
      <c r="C13" s="3">
        <f ca="1">[1]!s_fa_roa($A13,C$1)</f>
        <v>1.607</v>
      </c>
      <c r="D13" s="3">
        <f>[1]!s_fa_roa($A13,D$1)</f>
        <v>1.607</v>
      </c>
      <c r="E13" s="3">
        <f>[1]!s_fa_roa($A13,E$1)</f>
        <v>0.67269999999999996</v>
      </c>
      <c r="F13" s="3">
        <f>[1]!s_fa_roa($A13,F$1)</f>
        <v>2.9925999999999999</v>
      </c>
      <c r="G13" s="3">
        <f>[1]!s_fa_roa($A13,G$1)</f>
        <v>2.0651999999999999</v>
      </c>
      <c r="H13" s="3">
        <f>[1]!s_fa_roa($A13,H$1)</f>
        <v>1.4283999999999999</v>
      </c>
      <c r="I13" s="3">
        <f>[1]!s_fa_roa($A13,I$1)</f>
        <v>0.69269999999999998</v>
      </c>
      <c r="J13" s="3">
        <f>[1]!s_fa_roa($A13,J$1)</f>
        <v>1.6720999999999999</v>
      </c>
      <c r="K13" s="3">
        <f>[1]!s_fa_roa($A13,K$1)</f>
        <v>1.3939999999999999</v>
      </c>
      <c r="L13" s="3">
        <f>[1]!s_fa_roa($A13,L$1)</f>
        <v>1.1025</v>
      </c>
      <c r="M13" s="3">
        <f>[1]!s_fa_roa($A13,M$1)</f>
        <v>0.23519999999999999</v>
      </c>
      <c r="N13" s="3">
        <f>[1]!s_fa_roa($A13,N$1)</f>
        <v>1.6870000000000001</v>
      </c>
      <c r="O13" s="3">
        <f>[1]!s_fa_roa($A13,O$1)</f>
        <v>1.1049</v>
      </c>
      <c r="P13" s="3">
        <f>[1]!s_fa_roa($A13,P$1)</f>
        <v>0.73640000000000005</v>
      </c>
      <c r="Q13" s="3">
        <f>[1]!s_fa_roa($A13,Q$1)</f>
        <v>0.18240000000000001</v>
      </c>
      <c r="R13" s="3">
        <f>[1]!s_fa_roa($A13,R$1)</f>
        <v>1.3304</v>
      </c>
      <c r="S13" s="3">
        <f>[1]!s_fa_roa($A13,S$1)</f>
        <v>0.87180000000000002</v>
      </c>
      <c r="T13" s="3">
        <f>[1]!s_fa_roa($A13,T$1)</f>
        <v>0.57520000000000004</v>
      </c>
      <c r="U13" s="3">
        <f>[1]!s_fa_roa($A13,U$1)</f>
        <v>0.18740000000000001</v>
      </c>
      <c r="V13" s="3">
        <f>[1]!s_fa_roa($A13,V$1)</f>
        <v>1.6189</v>
      </c>
      <c r="W13" s="3">
        <f>[1]!s_fa_roa($A13,W$1)</f>
        <v>1.0525</v>
      </c>
      <c r="X13" s="3">
        <f>[1]!s_fa_roa($A13,X$1)</f>
        <v>0.6946</v>
      </c>
      <c r="Y13" s="3">
        <f>[1]!s_fa_roa($A13,Y$1)</f>
        <v>0.1573</v>
      </c>
    </row>
    <row r="14" spans="1:25">
      <c r="A14" s="8" t="s">
        <v>12</v>
      </c>
      <c r="B14" s="1" t="s">
        <v>55</v>
      </c>
      <c r="C14" s="3">
        <f ca="1">[1]!s_fa_roa($A14,C$1)</f>
        <v>1.9574</v>
      </c>
      <c r="D14" s="3">
        <f>[1]!s_fa_roa($A14,D$1)</f>
        <v>1.9574</v>
      </c>
      <c r="E14" s="3">
        <f>[1]!s_fa_roa($A14,E$1)</f>
        <v>0.99950000000000006</v>
      </c>
      <c r="F14" s="3">
        <f>[1]!s_fa_roa($A14,F$1)</f>
        <v>2.4618000000000002</v>
      </c>
      <c r="G14" s="3">
        <f>[1]!s_fa_roa($A14,G$1)</f>
        <v>2.1259000000000001</v>
      </c>
      <c r="H14" s="3">
        <f>[1]!s_fa_roa($A14,H$1)</f>
        <v>1.0954999999999999</v>
      </c>
      <c r="I14" s="3">
        <f>[1]!s_fa_roa($A14,I$1)</f>
        <v>0.14510000000000001</v>
      </c>
      <c r="J14" s="3">
        <f>[1]!s_fa_roa($A14,J$1)</f>
        <v>2.6337999999999999</v>
      </c>
      <c r="K14" s="3">
        <f>[1]!s_fa_roa($A14,K$1)</f>
        <v>2.4701</v>
      </c>
      <c r="L14" s="3">
        <f>[1]!s_fa_roa($A14,L$1)</f>
        <v>1.7370000000000001</v>
      </c>
      <c r="M14" s="3">
        <f>[1]!s_fa_roa($A14,M$1)</f>
        <v>0.93559999999999999</v>
      </c>
      <c r="N14" s="3">
        <f>[1]!s_fa_roa($A14,N$1)</f>
        <v>4.0129999999999999</v>
      </c>
      <c r="O14" s="3">
        <f>[1]!s_fa_roa($A14,O$1)</f>
        <v>3.6326000000000001</v>
      </c>
      <c r="P14" s="3">
        <f>[1]!s_fa_roa($A14,P$1)</f>
        <v>2.6156999999999999</v>
      </c>
      <c r="Q14" s="3">
        <f>[1]!s_fa_roa($A14,Q$1)</f>
        <v>1.3305</v>
      </c>
      <c r="R14" s="3">
        <f>[1]!s_fa_roa($A14,R$1)</f>
        <v>5.1302000000000003</v>
      </c>
      <c r="S14" s="3">
        <f>[1]!s_fa_roa($A14,S$1)</f>
        <v>3.8500999999999999</v>
      </c>
      <c r="T14" s="3">
        <f>[1]!s_fa_roa($A14,T$1)</f>
        <v>2.6415000000000002</v>
      </c>
      <c r="U14" s="3">
        <f>[1]!s_fa_roa($A14,U$1)</f>
        <v>1.3736999999999999</v>
      </c>
      <c r="V14" s="3">
        <f>[1]!s_fa_roa($A14,V$1)</f>
        <v>5.5757000000000003</v>
      </c>
      <c r="W14" s="3">
        <f>[1]!s_fa_roa($A14,W$1)</f>
        <v>4.1756000000000002</v>
      </c>
      <c r="X14" s="3">
        <f>[1]!s_fa_roa($A14,X$1)</f>
        <v>2.8885999999999998</v>
      </c>
      <c r="Y14" s="3">
        <f>[1]!s_fa_roa($A14,Y$1)</f>
        <v>1.4367000000000001</v>
      </c>
    </row>
    <row r="15" spans="1:25">
      <c r="A15" s="8" t="s">
        <v>13</v>
      </c>
      <c r="B15" s="1" t="s">
        <v>56</v>
      </c>
      <c r="C15" s="3">
        <f ca="1">[1]!s_fa_roa($A15,C$1)</f>
        <v>1.0731999999999999</v>
      </c>
      <c r="D15" s="3">
        <f>[1]!s_fa_roa($A15,D$1)</f>
        <v>1.0731999999999999</v>
      </c>
      <c r="E15" s="3">
        <f>[1]!s_fa_roa($A15,E$1)</f>
        <v>0.62849999999999995</v>
      </c>
      <c r="F15" s="3">
        <f>[1]!s_fa_roa($A15,F$1)</f>
        <v>0.80900000000000005</v>
      </c>
      <c r="G15" s="3">
        <f>[1]!s_fa_roa($A15,G$1)</f>
        <v>1.3363</v>
      </c>
      <c r="H15" s="3">
        <f>[1]!s_fa_roa($A15,H$1)</f>
        <v>0.81689999999999996</v>
      </c>
      <c r="I15" s="3">
        <f>[1]!s_fa_roa($A15,I$1)</f>
        <v>0.23130000000000001</v>
      </c>
      <c r="J15" s="3">
        <f>[1]!s_fa_roa($A15,J$1)</f>
        <v>2.3046000000000002</v>
      </c>
      <c r="K15" s="3">
        <f>[1]!s_fa_roa($A15,K$1)</f>
        <v>2.7073</v>
      </c>
      <c r="L15" s="3">
        <f>[1]!s_fa_roa($A15,L$1)</f>
        <v>1.6178999999999999</v>
      </c>
      <c r="M15" s="3">
        <f>[1]!s_fa_roa($A15,M$1)</f>
        <v>0.84389999999999998</v>
      </c>
      <c r="N15" s="3">
        <f>[1]!s_fa_roa($A15,N$1)</f>
        <v>3.0901999999999998</v>
      </c>
      <c r="O15" s="3">
        <f>[1]!s_fa_roa($A15,O$1)</f>
        <v>2.9367999999999999</v>
      </c>
      <c r="P15" s="3">
        <f>[1]!s_fa_roa($A15,P$1)</f>
        <v>2.3020999999999998</v>
      </c>
      <c r="Q15" s="3">
        <f>[1]!s_fa_roa($A15,Q$1)</f>
        <v>0.98309999999999997</v>
      </c>
      <c r="R15" s="3">
        <f>[1]!s_fa_roa($A15,R$1)</f>
        <v>3.2269999999999999</v>
      </c>
      <c r="S15" s="3">
        <f>[1]!s_fa_roa($A15,S$1)</f>
        <v>2.2501000000000002</v>
      </c>
      <c r="T15" s="3">
        <f>[1]!s_fa_roa($A15,T$1)</f>
        <v>1.5925</v>
      </c>
      <c r="U15" s="3">
        <f>[1]!s_fa_roa($A15,U$1)</f>
        <v>0.83140000000000003</v>
      </c>
      <c r="V15" s="3">
        <f>[1]!s_fa_roa($A15,V$1)</f>
        <v>2.5289999999999999</v>
      </c>
      <c r="W15" s="3">
        <f>[1]!s_fa_roa($A15,W$1)</f>
        <v>1.7816000000000001</v>
      </c>
      <c r="X15" s="3">
        <f>[1]!s_fa_roa($A15,X$1)</f>
        <v>1.4283999999999999</v>
      </c>
      <c r="Y15" s="3">
        <f>[1]!s_fa_roa($A15,Y$1)</f>
        <v>0.7712</v>
      </c>
    </row>
    <row r="16" spans="1:25">
      <c r="A16" s="8" t="s">
        <v>14</v>
      </c>
      <c r="B16" s="1" t="s">
        <v>57</v>
      </c>
      <c r="C16" s="3">
        <f ca="1">[1]!s_fa_roa($A16,C$1)</f>
        <v>2.4903</v>
      </c>
      <c r="D16" s="3">
        <f>[1]!s_fa_roa($A16,D$1)</f>
        <v>2.4903</v>
      </c>
      <c r="E16" s="3">
        <f>[1]!s_fa_roa($A16,E$1)</f>
        <v>0.99370000000000003</v>
      </c>
      <c r="F16" s="3">
        <f>[1]!s_fa_roa($A16,F$1)</f>
        <v>1.1404000000000001</v>
      </c>
      <c r="G16" s="3">
        <f>[1]!s_fa_roa($A16,G$1)</f>
        <v>1.4448000000000001</v>
      </c>
      <c r="H16" s="3">
        <f>[1]!s_fa_roa($A16,H$1)</f>
        <v>-0.72260000000000002</v>
      </c>
      <c r="I16" s="3">
        <f>[1]!s_fa_roa($A16,I$1)</f>
        <v>-0.87309999999999999</v>
      </c>
      <c r="J16" s="3">
        <f>[1]!s_fa_roa($A16,J$1)</f>
        <v>5.4603999999999999</v>
      </c>
      <c r="K16" s="3">
        <f>[1]!s_fa_roa($A16,K$1)</f>
        <v>5.7884000000000002</v>
      </c>
      <c r="L16" s="3">
        <f>[1]!s_fa_roa($A16,L$1)</f>
        <v>3.8450000000000002</v>
      </c>
      <c r="M16" s="3">
        <f>[1]!s_fa_roa($A16,M$1)</f>
        <v>2.0158</v>
      </c>
      <c r="N16" s="3">
        <f>[1]!s_fa_roa($A16,N$1)</f>
        <v>6.1220999999999997</v>
      </c>
      <c r="O16" s="3">
        <f>[1]!s_fa_roa($A16,O$1)</f>
        <v>5.5650000000000004</v>
      </c>
      <c r="P16" s="3">
        <f>[1]!s_fa_roa($A16,P$1)</f>
        <v>3.2574000000000001</v>
      </c>
      <c r="Q16" s="3">
        <f>[1]!s_fa_roa($A16,Q$1)</f>
        <v>1.2898000000000001</v>
      </c>
      <c r="R16" s="3">
        <f>[1]!s_fa_roa($A16,R$1)</f>
        <v>5.2866999999999997</v>
      </c>
      <c r="S16" s="3">
        <f>[1]!s_fa_roa($A16,S$1)</f>
        <v>4.1292999999999997</v>
      </c>
      <c r="T16" s="3">
        <f>[1]!s_fa_roa($A16,T$1)</f>
        <v>2.3641999999999999</v>
      </c>
      <c r="U16" s="3">
        <f>[1]!s_fa_roa($A16,U$1)</f>
        <v>0.92989999999999995</v>
      </c>
      <c r="V16" s="3">
        <f>[1]!s_fa_roa($A16,V$1)</f>
        <v>4.7880000000000003</v>
      </c>
      <c r="W16" s="3">
        <f>[1]!s_fa_roa($A16,W$1)</f>
        <v>3.9077999999999999</v>
      </c>
      <c r="X16" s="3">
        <f>[1]!s_fa_roa($A16,X$1)</f>
        <v>2.3679000000000001</v>
      </c>
      <c r="Y16" s="3">
        <f>[1]!s_fa_roa($A16,Y$1)</f>
        <v>1.1984999999999999</v>
      </c>
    </row>
    <row r="17" spans="1:25">
      <c r="A17" s="8" t="s">
        <v>15</v>
      </c>
      <c r="B17" s="1" t="s">
        <v>58</v>
      </c>
      <c r="C17" s="3">
        <f ca="1">[1]!s_fa_roa($A17,C$1)</f>
        <v>3.1972999999999998</v>
      </c>
      <c r="D17" s="3">
        <f>[1]!s_fa_roa($A17,D$1)</f>
        <v>3.1972999999999998</v>
      </c>
      <c r="E17" s="3">
        <f>[1]!s_fa_roa($A17,E$1)</f>
        <v>1.3652</v>
      </c>
      <c r="F17" s="3">
        <f>[1]!s_fa_roa($A17,F$1)</f>
        <v>6.5983999999999998</v>
      </c>
      <c r="G17" s="3">
        <f>[1]!s_fa_roa($A17,G$1)</f>
        <v>4.8407</v>
      </c>
      <c r="H17" s="3">
        <f>[1]!s_fa_roa($A17,H$1)</f>
        <v>2.6793</v>
      </c>
      <c r="I17" s="3">
        <f>[1]!s_fa_roa($A17,I$1)</f>
        <v>0.71930000000000005</v>
      </c>
      <c r="J17" s="3">
        <f>[1]!s_fa_roa($A17,J$1)</f>
        <v>6.609</v>
      </c>
      <c r="K17" s="3">
        <f>[1]!s_fa_roa($A17,K$1)</f>
        <v>5.9291999999999998</v>
      </c>
      <c r="L17" s="3">
        <f>[1]!s_fa_roa($A17,L$1)</f>
        <v>3.9245000000000001</v>
      </c>
      <c r="M17" s="3">
        <f>[1]!s_fa_roa($A17,M$1)</f>
        <v>1.5193000000000001</v>
      </c>
      <c r="N17" s="3">
        <f>[1]!s_fa_roa($A17,N$1)</f>
        <v>5.2408000000000001</v>
      </c>
      <c r="O17" s="3">
        <f>[1]!s_fa_roa($A17,O$1)</f>
        <v>5.1429</v>
      </c>
      <c r="P17" s="3">
        <f>[1]!s_fa_roa($A17,P$1)</f>
        <v>3.6150000000000002</v>
      </c>
      <c r="Q17" s="3">
        <f>[1]!s_fa_roa($A17,Q$1)</f>
        <v>1.4866999999999999</v>
      </c>
      <c r="R17" s="3">
        <f>[1]!s_fa_roa($A17,R$1)</f>
        <v>6.7332999999999998</v>
      </c>
      <c r="S17" s="3">
        <f>[1]!s_fa_roa($A17,S$1)</f>
        <v>5.0742000000000003</v>
      </c>
      <c r="T17" s="3">
        <f>[1]!s_fa_roa($A17,T$1)</f>
        <v>3.423</v>
      </c>
      <c r="U17" s="3">
        <f>[1]!s_fa_roa($A17,U$1)</f>
        <v>1.4653</v>
      </c>
      <c r="V17" s="3">
        <f>[1]!s_fa_roa($A17,V$1)</f>
        <v>6.5486000000000004</v>
      </c>
      <c r="W17" s="3">
        <f>[1]!s_fa_roa($A17,W$1)</f>
        <v>5.1673999999999998</v>
      </c>
      <c r="X17" s="3">
        <f>[1]!s_fa_roa($A17,X$1)</f>
        <v>3.5066000000000002</v>
      </c>
      <c r="Y17" s="3">
        <f>[1]!s_fa_roa($A17,Y$1)</f>
        <v>1.6849000000000001</v>
      </c>
    </row>
    <row r="18" spans="1:25">
      <c r="A18" s="8" t="s">
        <v>16</v>
      </c>
      <c r="B18" s="1" t="s">
        <v>59</v>
      </c>
      <c r="C18" s="3">
        <f ca="1">[1]!s_fa_roa($A18,C$1)</f>
        <v>2.0712999999999999</v>
      </c>
      <c r="D18" s="3">
        <f>[1]!s_fa_roa($A18,D$1)</f>
        <v>2.0712999999999999</v>
      </c>
      <c r="E18" s="3">
        <f>[1]!s_fa_roa($A18,E$1)</f>
        <v>1.0285</v>
      </c>
      <c r="F18" s="3">
        <f>[1]!s_fa_roa($A18,F$1)</f>
        <v>2.1962000000000002</v>
      </c>
      <c r="G18" s="3">
        <f>[1]!s_fa_roa($A18,G$1)</f>
        <v>2.2803</v>
      </c>
      <c r="H18" s="3">
        <f>[1]!s_fa_roa($A18,H$1)</f>
        <v>1.3404</v>
      </c>
      <c r="I18" s="3">
        <f>[1]!s_fa_roa($A18,I$1)</f>
        <v>0.40139999999999998</v>
      </c>
      <c r="J18" s="3">
        <f>[1]!s_fa_roa($A18,J$1)</f>
        <v>2.6665000000000001</v>
      </c>
      <c r="K18" s="3">
        <f>[1]!s_fa_roa($A18,K$1)</f>
        <v>3.0564</v>
      </c>
      <c r="L18" s="3">
        <f>[1]!s_fa_roa($A18,L$1)</f>
        <v>2.1985999999999999</v>
      </c>
      <c r="M18" s="3">
        <f>[1]!s_fa_roa($A18,M$1)</f>
        <v>1.3741000000000001</v>
      </c>
      <c r="N18" s="3">
        <f>[1]!s_fa_roa($A18,N$1)</f>
        <v>3.2829000000000002</v>
      </c>
      <c r="O18" s="3">
        <f>[1]!s_fa_roa($A18,O$1)</f>
        <v>4.0223000000000004</v>
      </c>
      <c r="P18" s="3">
        <f>[1]!s_fa_roa($A18,P$1)</f>
        <v>2.8102999999999998</v>
      </c>
      <c r="Q18" s="3">
        <f>[1]!s_fa_roa($A18,Q$1)</f>
        <v>1.3747</v>
      </c>
      <c r="R18" s="3">
        <f>[1]!s_fa_roa($A18,R$1)</f>
        <v>4.7472000000000003</v>
      </c>
      <c r="S18" s="3">
        <f>[1]!s_fa_roa($A18,S$1)</f>
        <v>4.0774999999999997</v>
      </c>
      <c r="T18" s="3">
        <f>[1]!s_fa_roa($A18,T$1)</f>
        <v>2.9434999999999998</v>
      </c>
      <c r="U18" s="3">
        <f>[1]!s_fa_roa($A18,U$1)</f>
        <v>1.4489000000000001</v>
      </c>
      <c r="V18" s="3">
        <f>[1]!s_fa_roa($A18,V$1)</f>
        <v>5.0220000000000002</v>
      </c>
      <c r="W18" s="3">
        <f>[1]!s_fa_roa($A18,W$1)</f>
        <v>3.8893</v>
      </c>
      <c r="X18" s="3">
        <f>[1]!s_fa_roa($A18,X$1)</f>
        <v>2.8887</v>
      </c>
      <c r="Y18" s="3">
        <f>[1]!s_fa_roa($A18,Y$1)</f>
        <v>1.6732</v>
      </c>
    </row>
    <row r="19" spans="1:25">
      <c r="A19" s="8" t="s">
        <v>17</v>
      </c>
      <c r="B19" s="1" t="s">
        <v>60</v>
      </c>
      <c r="C19" s="3">
        <f ca="1">[1]!s_fa_roa($A19,C$1)</f>
        <v>4.4863999999999997</v>
      </c>
      <c r="D19" s="3">
        <f>[1]!s_fa_roa($A19,D$1)</f>
        <v>4.4863999999999997</v>
      </c>
      <c r="E19" s="3">
        <f>[1]!s_fa_roa($A19,E$1)</f>
        <v>2.1234999999999999</v>
      </c>
      <c r="F19" s="3">
        <f>[1]!s_fa_roa($A19,F$1)</f>
        <v>5.5456000000000003</v>
      </c>
      <c r="G19" s="3">
        <f>[1]!s_fa_roa($A19,G$1)</f>
        <v>5.5864000000000003</v>
      </c>
      <c r="H19" s="3">
        <f>[1]!s_fa_roa($A19,H$1)</f>
        <v>3.54</v>
      </c>
      <c r="I19" s="3">
        <f>[1]!s_fa_roa($A19,I$1)</f>
        <v>1.3278000000000001</v>
      </c>
      <c r="J19" s="3">
        <f>[1]!s_fa_roa($A19,J$1)</f>
        <v>4.6871999999999998</v>
      </c>
      <c r="K19" s="3">
        <f>[1]!s_fa_roa($A19,K$1)</f>
        <v>5.0347999999999997</v>
      </c>
      <c r="L19" s="3">
        <f>[1]!s_fa_roa($A19,L$1)</f>
        <v>3.5030000000000001</v>
      </c>
      <c r="M19" s="3">
        <f>[1]!s_fa_roa($A19,M$1)</f>
        <v>1.7423</v>
      </c>
      <c r="N19" s="3">
        <f>[1]!s_fa_roa($A19,N$1)</f>
        <v>5.8869999999999996</v>
      </c>
      <c r="O19" s="3">
        <f>[1]!s_fa_roa($A19,O$1)</f>
        <v>5.3167999999999997</v>
      </c>
      <c r="P19" s="3">
        <f>[1]!s_fa_roa($A19,P$1)</f>
        <v>3.7172000000000001</v>
      </c>
      <c r="Q19" s="3">
        <f>[1]!s_fa_roa($A19,Q$1)</f>
        <v>1.7910999999999999</v>
      </c>
      <c r="R19" s="3">
        <f>[1]!s_fa_roa($A19,R$1)</f>
        <v>7.2023000000000001</v>
      </c>
      <c r="S19" s="3">
        <f>[1]!s_fa_roa($A19,S$1)</f>
        <v>5.7084999999999999</v>
      </c>
      <c r="T19" s="3">
        <f>[1]!s_fa_roa($A19,T$1)</f>
        <v>3.5579000000000001</v>
      </c>
      <c r="U19" s="3">
        <f>[1]!s_fa_roa($A19,U$1)</f>
        <v>1.5697000000000001</v>
      </c>
      <c r="V19" s="3">
        <f>[1]!s_fa_roa($A19,V$1)</f>
        <v>6.3738000000000001</v>
      </c>
      <c r="W19" s="3">
        <f>[1]!s_fa_roa($A19,W$1)</f>
        <v>4.9268000000000001</v>
      </c>
      <c r="X19" s="3">
        <f>[1]!s_fa_roa($A19,X$1)</f>
        <v>3.3874</v>
      </c>
      <c r="Y19" s="3">
        <f>[1]!s_fa_roa($A19,Y$1)</f>
        <v>1.6053999999999999</v>
      </c>
    </row>
    <row r="20" spans="1:25">
      <c r="A20" s="8" t="s">
        <v>18</v>
      </c>
      <c r="B20" s="1" t="s">
        <v>61</v>
      </c>
      <c r="C20" s="3">
        <f ca="1">[1]!s_fa_roa($A20,C$1)</f>
        <v>7.8647</v>
      </c>
      <c r="D20" s="3">
        <f>[1]!s_fa_roa($A20,D$1)</f>
        <v>7.8647</v>
      </c>
      <c r="E20" s="3">
        <f>[1]!s_fa_roa($A20,E$1)</f>
        <v>4.6752000000000002</v>
      </c>
      <c r="F20" s="3">
        <f>[1]!s_fa_roa($A20,F$1)</f>
        <v>13.931699999999999</v>
      </c>
      <c r="G20" s="3">
        <f>[1]!s_fa_roa($A20,G$1)</f>
        <v>11.3332</v>
      </c>
      <c r="H20" s="3">
        <f>[1]!s_fa_roa($A20,H$1)</f>
        <v>7.8273999999999999</v>
      </c>
      <c r="I20" s="3">
        <f>[1]!s_fa_roa($A20,I$1)</f>
        <v>4.2023999999999999</v>
      </c>
      <c r="J20" s="3">
        <f>[1]!s_fa_roa($A20,J$1)</f>
        <v>13.4596</v>
      </c>
      <c r="K20" s="3">
        <f>[1]!s_fa_roa($A20,K$1)</f>
        <v>10.8712</v>
      </c>
      <c r="L20" s="3">
        <f>[1]!s_fa_roa($A20,L$1)</f>
        <v>7.6029</v>
      </c>
      <c r="M20" s="3">
        <f>[1]!s_fa_roa($A20,M$1)</f>
        <v>4.5305</v>
      </c>
      <c r="N20" s="3">
        <f>[1]!s_fa_roa($A20,N$1)</f>
        <v>12.9068</v>
      </c>
      <c r="O20" s="3">
        <f>[1]!s_fa_roa($A20,O$1)</f>
        <v>10.266999999999999</v>
      </c>
      <c r="P20" s="3">
        <f>[1]!s_fa_roa($A20,P$1)</f>
        <v>7.1687000000000003</v>
      </c>
      <c r="Q20" s="3">
        <f>[1]!s_fa_roa($A20,Q$1)</f>
        <v>4.1778000000000004</v>
      </c>
      <c r="R20" s="3">
        <f>[1]!s_fa_roa($A20,R$1)</f>
        <v>11.723000000000001</v>
      </c>
      <c r="S20" s="3">
        <f>[1]!s_fa_roa($A20,S$1)</f>
        <v>9.4940999999999995</v>
      </c>
      <c r="T20" s="3">
        <f>[1]!s_fa_roa($A20,T$1)</f>
        <v>6.2847</v>
      </c>
      <c r="U20" s="3">
        <f>[1]!s_fa_roa($A20,U$1)</f>
        <v>3.6890000000000001</v>
      </c>
      <c r="V20" s="3">
        <f>[1]!s_fa_roa($A20,V$1)</f>
        <v>10.114100000000001</v>
      </c>
      <c r="W20" s="3">
        <f>[1]!s_fa_roa($A20,W$1)</f>
        <v>8.1483000000000008</v>
      </c>
      <c r="X20" s="3">
        <f>[1]!s_fa_roa($A20,X$1)</f>
        <v>5.8432000000000004</v>
      </c>
      <c r="Y20" s="3">
        <f>[1]!s_fa_roa($A20,Y$1)</f>
        <v>3.8170000000000002</v>
      </c>
    </row>
    <row r="21" spans="1:25">
      <c r="A21" s="8" t="s">
        <v>19</v>
      </c>
      <c r="B21" s="1" t="s">
        <v>62</v>
      </c>
      <c r="C21" s="3">
        <f ca="1">[1]!s_fa_roa($A21,C$1)</f>
        <v>1.4336</v>
      </c>
      <c r="D21" s="3">
        <f>[1]!s_fa_roa($A21,D$1)</f>
        <v>1.4336</v>
      </c>
      <c r="E21" s="3">
        <f>[1]!s_fa_roa($A21,E$1)</f>
        <v>1.6278999999999999</v>
      </c>
      <c r="F21" s="3">
        <f>[1]!s_fa_roa($A21,F$1)</f>
        <v>9.7134999999999998</v>
      </c>
      <c r="G21" s="3">
        <f>[1]!s_fa_roa($A21,G$1)</f>
        <v>8.8308</v>
      </c>
      <c r="H21" s="3">
        <f>[1]!s_fa_roa($A21,H$1)</f>
        <v>5.0528000000000004</v>
      </c>
      <c r="I21" s="3">
        <f>[1]!s_fa_roa($A21,I$1)</f>
        <v>2.1772999999999998</v>
      </c>
      <c r="J21" s="3">
        <f>[1]!s_fa_roa($A21,J$1)</f>
        <v>7.7133000000000003</v>
      </c>
      <c r="K21" s="3">
        <f>[1]!s_fa_roa($A21,K$1)</f>
        <v>4.4497999999999998</v>
      </c>
      <c r="L21" s="3">
        <f>[1]!s_fa_roa($A21,L$1)</f>
        <v>1.6014999999999999</v>
      </c>
      <c r="M21" s="3">
        <f>[1]!s_fa_roa($A21,M$1)</f>
        <v>0.28949999999999998</v>
      </c>
      <c r="N21" s="3">
        <f>[1]!s_fa_roa($A21,N$1)</f>
        <v>1.6459999999999999</v>
      </c>
      <c r="O21" s="3">
        <f>[1]!s_fa_roa($A21,O$1)</f>
        <v>2.9971999999999999</v>
      </c>
      <c r="P21" s="3">
        <f>[1]!s_fa_roa($A21,P$1)</f>
        <v>1.3388</v>
      </c>
      <c r="Q21" s="3">
        <f>[1]!s_fa_roa($A21,Q$1)</f>
        <v>1.1191</v>
      </c>
      <c r="R21" s="3">
        <f>[1]!s_fa_roa($A21,R$1)</f>
        <v>3.9666000000000001</v>
      </c>
      <c r="S21" s="3">
        <f>[1]!s_fa_roa($A21,S$1)</f>
        <v>4.1445999999999996</v>
      </c>
      <c r="T21" s="3">
        <f>[1]!s_fa_roa($A21,T$1)</f>
        <v>2.4197000000000002</v>
      </c>
      <c r="U21" s="3">
        <f>[1]!s_fa_roa($A21,U$1)</f>
        <v>1.3092999999999999</v>
      </c>
      <c r="V21" s="3">
        <f>[1]!s_fa_roa($A21,V$1)</f>
        <v>7.4861000000000004</v>
      </c>
      <c r="W21" s="3">
        <f>[1]!s_fa_roa($A21,W$1)</f>
        <v>6.3428000000000004</v>
      </c>
      <c r="X21" s="3">
        <f>[1]!s_fa_roa($A21,X$1)</f>
        <v>4.0685000000000002</v>
      </c>
      <c r="Y21" s="3">
        <f>[1]!s_fa_roa($A21,Y$1)</f>
        <v>0.85360000000000003</v>
      </c>
    </row>
    <row r="22" spans="1:25">
      <c r="A22" s="8" t="s">
        <v>20</v>
      </c>
      <c r="B22" s="1" t="s">
        <v>63</v>
      </c>
      <c r="C22" s="3">
        <f ca="1">[1]!s_fa_roa($A22,C$1)</f>
        <v>0.45879999999999999</v>
      </c>
      <c r="D22" s="3">
        <f>[1]!s_fa_roa($A22,D$1)</f>
        <v>0.45879999999999999</v>
      </c>
      <c r="E22" s="3">
        <f>[1]!s_fa_roa($A22,E$1)</f>
        <v>0.24479999999999999</v>
      </c>
      <c r="F22" s="3">
        <f>[1]!s_fa_roa($A22,F$1)</f>
        <v>0.86439999999999995</v>
      </c>
      <c r="G22" s="3">
        <f>[1]!s_fa_roa($A22,G$1)</f>
        <v>0.66110000000000002</v>
      </c>
      <c r="H22" s="3">
        <f>[1]!s_fa_roa($A22,H$1)</f>
        <v>0.44469999999999998</v>
      </c>
      <c r="I22" s="3">
        <f>[1]!s_fa_roa($A22,I$1)</f>
        <v>0.2601</v>
      </c>
      <c r="J22" s="3">
        <f>[1]!s_fa_roa($A22,J$1)</f>
        <v>0.96279999999999999</v>
      </c>
      <c r="K22" s="3">
        <f>[1]!s_fa_roa($A22,K$1)</f>
        <v>0.80379999999999996</v>
      </c>
      <c r="L22" s="3">
        <f>[1]!s_fa_roa($A22,L$1)</f>
        <v>0.5494</v>
      </c>
      <c r="M22" s="3">
        <f>[1]!s_fa_roa($A22,M$1)</f>
        <v>0.2732</v>
      </c>
      <c r="N22" s="3">
        <f>[1]!s_fa_roa($A22,N$1)</f>
        <v>0.97230000000000005</v>
      </c>
      <c r="O22" s="3">
        <f>[1]!s_fa_roa($A22,O$1)</f>
        <v>0.8034</v>
      </c>
      <c r="P22" s="3">
        <f>[1]!s_fa_roa($A22,P$1)</f>
        <v>0.55300000000000005</v>
      </c>
      <c r="Q22" s="3">
        <f>[1]!s_fa_roa($A22,Q$1)</f>
        <v>0.27439999999999998</v>
      </c>
      <c r="R22" s="3">
        <f>[1]!s_fa_roa($A22,R$1)</f>
        <v>0.98209999999999997</v>
      </c>
      <c r="S22" s="3">
        <f>[1]!s_fa_roa($A22,S$1)</f>
        <v>0.8034</v>
      </c>
      <c r="T22" s="3">
        <f>[1]!s_fa_roa($A22,T$1)</f>
        <v>0.55210000000000004</v>
      </c>
      <c r="U22" s="3">
        <f>[1]!s_fa_roa($A22,U$1)</f>
        <v>0.27550000000000002</v>
      </c>
      <c r="V22" s="3">
        <f>[1]!s_fa_roa($A22,V$1)</f>
        <v>1.0387999999999999</v>
      </c>
      <c r="W22" s="3">
        <f>[1]!s_fa_roa($A22,W$1)</f>
        <v>0.86350000000000005</v>
      </c>
      <c r="X22" s="3">
        <f>[1]!s_fa_roa($A22,X$1)</f>
        <v>0.59730000000000005</v>
      </c>
      <c r="Y22" s="3">
        <f>[1]!s_fa_roa($A22,Y$1)</f>
        <v>0.30330000000000001</v>
      </c>
    </row>
    <row r="23" spans="1:25">
      <c r="A23" s="8" t="s">
        <v>21</v>
      </c>
      <c r="B23" s="1" t="s">
        <v>64</v>
      </c>
      <c r="C23" s="3">
        <f ca="1">[1]!s_fa_roa($A23,C$1)</f>
        <v>0.9345</v>
      </c>
      <c r="D23" s="3">
        <f>[1]!s_fa_roa($A23,D$1)</f>
        <v>0.9345</v>
      </c>
      <c r="E23" s="3">
        <f>[1]!s_fa_roa($A23,E$1)</f>
        <v>0.48209999999999997</v>
      </c>
      <c r="F23" s="3">
        <f>[1]!s_fa_roa($A23,F$1)</f>
        <v>1.534</v>
      </c>
      <c r="G23" s="3">
        <f>[1]!s_fa_roa($A23,G$1)</f>
        <v>1.2505999999999999</v>
      </c>
      <c r="H23" s="3">
        <f>[1]!s_fa_roa($A23,H$1)</f>
        <v>0.71179999999999999</v>
      </c>
      <c r="I23" s="3">
        <f>[1]!s_fa_roa($A23,I$1)</f>
        <v>0.45269999999999999</v>
      </c>
      <c r="J23" s="3">
        <f>[1]!s_fa_roa($A23,J$1)</f>
        <v>1.8932</v>
      </c>
      <c r="K23" s="3">
        <f>[1]!s_fa_roa($A23,K$1)</f>
        <v>1.6876</v>
      </c>
      <c r="L23" s="3">
        <f>[1]!s_fa_roa($A23,L$1)</f>
        <v>1.2135</v>
      </c>
      <c r="M23" s="3">
        <f>[1]!s_fa_roa($A23,M$1)</f>
        <v>0.6573</v>
      </c>
      <c r="N23" s="3">
        <f>[1]!s_fa_roa($A23,N$1)</f>
        <v>1.3003</v>
      </c>
      <c r="O23" s="3">
        <f>[1]!s_fa_roa($A23,O$1)</f>
        <v>1.0616000000000001</v>
      </c>
      <c r="P23" s="3">
        <f>[1]!s_fa_roa($A23,P$1)</f>
        <v>0.77470000000000006</v>
      </c>
      <c r="Q23" s="3">
        <f>[1]!s_fa_roa($A23,Q$1)</f>
        <v>0.4148</v>
      </c>
      <c r="R23" s="3">
        <f>[1]!s_fa_roa($A23,R$1)</f>
        <v>1.6201000000000001</v>
      </c>
      <c r="S23" s="3">
        <f>[1]!s_fa_roa($A23,S$1)</f>
        <v>1.2352000000000001</v>
      </c>
      <c r="T23" s="3">
        <f>[1]!s_fa_roa($A23,T$1)</f>
        <v>0.77480000000000004</v>
      </c>
      <c r="U23" s="3">
        <f>[1]!s_fa_roa($A23,U$1)</f>
        <v>0.3947</v>
      </c>
      <c r="V23" s="3">
        <f>[1]!s_fa_roa($A23,V$1)</f>
        <v>1.4175</v>
      </c>
      <c r="W23" s="3">
        <f>[1]!s_fa_roa($A23,W$1)</f>
        <v>1.1819</v>
      </c>
      <c r="X23" s="3">
        <f>[1]!s_fa_roa($A23,X$1)</f>
        <v>0.80579999999999996</v>
      </c>
      <c r="Y23" s="3">
        <f>[1]!s_fa_roa($A23,Y$1)</f>
        <v>0.38140000000000002</v>
      </c>
    </row>
    <row r="24" spans="1:25">
      <c r="A24" s="8" t="s">
        <v>22</v>
      </c>
      <c r="B24" s="1" t="s">
        <v>65</v>
      </c>
      <c r="C24" s="3">
        <f ca="1">[1]!s_fa_roa($A24,C$1)</f>
        <v>0.65429999999999999</v>
      </c>
      <c r="D24" s="3">
        <f>[1]!s_fa_roa($A24,D$1)</f>
        <v>0.65429999999999999</v>
      </c>
      <c r="E24" s="3">
        <f>[1]!s_fa_roa($A24,E$1)</f>
        <v>0.19009999999999999</v>
      </c>
      <c r="F24" s="3">
        <f>[1]!s_fa_roa($A24,F$1)</f>
        <v>2.0415000000000001</v>
      </c>
      <c r="G24" s="3">
        <f>[1]!s_fa_roa($A24,G$1)</f>
        <v>1.254</v>
      </c>
      <c r="H24" s="3">
        <f>[1]!s_fa_roa($A24,H$1)</f>
        <v>0.84409999999999996</v>
      </c>
      <c r="I24" s="3">
        <f>[1]!s_fa_roa($A24,I$1)</f>
        <v>0.23830000000000001</v>
      </c>
      <c r="J24" s="3">
        <f>[1]!s_fa_roa($A24,J$1)</f>
        <v>2.5283000000000002</v>
      </c>
      <c r="K24" s="3">
        <f>[1]!s_fa_roa($A24,K$1)</f>
        <v>1.5843</v>
      </c>
      <c r="L24" s="3">
        <f>[1]!s_fa_roa($A24,L$1)</f>
        <v>1.1639999999999999</v>
      </c>
      <c r="M24" s="3">
        <f>[1]!s_fa_roa($A24,M$1)</f>
        <v>0.4597</v>
      </c>
      <c r="N24" s="3">
        <f>[1]!s_fa_roa($A24,N$1)</f>
        <v>2.7444999999999999</v>
      </c>
      <c r="O24" s="3">
        <f>[1]!s_fa_roa($A24,O$1)</f>
        <v>1.6358999999999999</v>
      </c>
      <c r="P24" s="3">
        <f>[1]!s_fa_roa($A24,P$1)</f>
        <v>1.1809000000000001</v>
      </c>
      <c r="Q24" s="3">
        <f>[1]!s_fa_roa($A24,Q$1)</f>
        <v>0.44429999999999997</v>
      </c>
      <c r="R24" s="3">
        <f>[1]!s_fa_roa($A24,R$1)</f>
        <v>2.8997000000000002</v>
      </c>
      <c r="S24" s="3">
        <f>[1]!s_fa_roa($A24,S$1)</f>
        <v>1.5047999999999999</v>
      </c>
      <c r="T24" s="3">
        <f>[1]!s_fa_roa($A24,T$1)</f>
        <v>1.0762</v>
      </c>
      <c r="U24" s="3">
        <f>[1]!s_fa_roa($A24,U$1)</f>
        <v>0.4113</v>
      </c>
      <c r="V24" s="3">
        <f>[1]!s_fa_roa($A24,V$1)</f>
        <v>2.9081999999999999</v>
      </c>
      <c r="W24" s="3">
        <f>[1]!s_fa_roa($A24,W$1)</f>
        <v>1.5384</v>
      </c>
      <c r="X24" s="3">
        <f>[1]!s_fa_roa($A24,X$1)</f>
        <v>1.0787</v>
      </c>
      <c r="Y24" s="3">
        <f>[1]!s_fa_roa($A24,Y$1)</f>
        <v>0.38390000000000002</v>
      </c>
    </row>
    <row r="25" spans="1:25">
      <c r="A25" s="8" t="s">
        <v>23</v>
      </c>
      <c r="B25" s="1" t="s">
        <v>66</v>
      </c>
      <c r="C25" s="3">
        <f ca="1">[1]!s_fa_roa($A25,C$1)</f>
        <v>1.9212</v>
      </c>
      <c r="D25" s="3">
        <f>[1]!s_fa_roa($A25,D$1)</f>
        <v>1.9212</v>
      </c>
      <c r="E25" s="3">
        <f>[1]!s_fa_roa($A25,E$1)</f>
        <v>0.52849999999999997</v>
      </c>
      <c r="F25" s="3">
        <f>[1]!s_fa_roa($A25,F$1)</f>
        <v>0.34799999999999998</v>
      </c>
      <c r="G25" s="3">
        <f>[1]!s_fa_roa($A25,G$1)</f>
        <v>0.72570000000000001</v>
      </c>
      <c r="H25" s="3">
        <f>[1]!s_fa_roa($A25,H$1)</f>
        <v>2.35E-2</v>
      </c>
      <c r="I25" s="3">
        <f>[1]!s_fa_roa($A25,I$1)</f>
        <v>-0.21010000000000001</v>
      </c>
      <c r="J25" s="3">
        <f>[1]!s_fa_roa($A25,J$1)</f>
        <v>3.3542999999999998</v>
      </c>
      <c r="K25" s="3">
        <f>[1]!s_fa_roa($A25,K$1)</f>
        <v>2.968</v>
      </c>
      <c r="L25" s="3">
        <f>[1]!s_fa_roa($A25,L$1)</f>
        <v>1.992</v>
      </c>
      <c r="M25" s="3">
        <f>[1]!s_fa_roa($A25,M$1)</f>
        <v>1.0744</v>
      </c>
      <c r="N25" s="3">
        <f>[1]!s_fa_roa($A25,N$1)</f>
        <v>3.3851</v>
      </c>
      <c r="O25" s="3">
        <f>[1]!s_fa_roa($A25,O$1)</f>
        <v>2.9664999999999999</v>
      </c>
      <c r="P25" s="3">
        <f>[1]!s_fa_roa($A25,P$1)</f>
        <v>1.9211</v>
      </c>
      <c r="Q25" s="3">
        <f>[1]!s_fa_roa($A25,Q$1)</f>
        <v>1.0622</v>
      </c>
      <c r="R25" s="3">
        <f>[1]!s_fa_roa($A25,R$1)</f>
        <v>4.3372000000000002</v>
      </c>
      <c r="S25" s="3">
        <f>[1]!s_fa_roa($A25,S$1)</f>
        <v>3.6286999999999998</v>
      </c>
      <c r="T25" s="3">
        <f>[1]!s_fa_roa($A25,T$1)</f>
        <v>2.1368</v>
      </c>
      <c r="U25" s="3">
        <f>[1]!s_fa_roa($A25,U$1)</f>
        <v>0.99970000000000003</v>
      </c>
      <c r="V25" s="3">
        <f>[1]!s_fa_roa($A25,V$1)</f>
        <v>3.2635000000000001</v>
      </c>
      <c r="W25" s="3">
        <f>[1]!s_fa_roa($A25,W$1)</f>
        <v>2.7319</v>
      </c>
      <c r="X25" s="3">
        <f>[1]!s_fa_roa($A25,X$1)</f>
        <v>1.5602</v>
      </c>
      <c r="Y25" s="3">
        <f>[1]!s_fa_roa($A25,Y$1)</f>
        <v>0.8145</v>
      </c>
    </row>
    <row r="26" spans="1:25">
      <c r="A26" s="8" t="s">
        <v>24</v>
      </c>
      <c r="B26" s="1" t="s">
        <v>67</v>
      </c>
      <c r="C26" s="3">
        <f ca="1">[1]!s_fa_roa($A26,C$1)</f>
        <v>3.1293000000000002</v>
      </c>
      <c r="D26" s="3">
        <f>[1]!s_fa_roa($A26,D$1)</f>
        <v>3.1293000000000002</v>
      </c>
      <c r="E26" s="3">
        <f>[1]!s_fa_roa($A26,E$1)</f>
        <v>1.337</v>
      </c>
      <c r="F26" s="3">
        <f>[1]!s_fa_roa($A26,F$1)</f>
        <v>3.8353999999999999</v>
      </c>
      <c r="G26" s="3">
        <f>[1]!s_fa_roa($A26,G$1)</f>
        <v>3.1067</v>
      </c>
      <c r="H26" s="3">
        <f>[1]!s_fa_roa($A26,H$1)</f>
        <v>1.65</v>
      </c>
      <c r="I26" s="3">
        <f>[1]!s_fa_roa($A26,I$1)</f>
        <v>0.51270000000000004</v>
      </c>
      <c r="J26" s="3">
        <f>[1]!s_fa_roa($A26,J$1)</f>
        <v>2.6387</v>
      </c>
      <c r="K26" s="3">
        <f>[1]!s_fa_roa($A26,K$1)</f>
        <v>2.6836000000000002</v>
      </c>
      <c r="L26" s="3">
        <f>[1]!s_fa_roa($A26,L$1)</f>
        <v>1.5182</v>
      </c>
      <c r="M26" s="3">
        <f>[1]!s_fa_roa($A26,M$1)</f>
        <v>0.66080000000000005</v>
      </c>
      <c r="N26" s="3">
        <f>[1]!s_fa_roa($A26,N$1)</f>
        <v>2.4986000000000002</v>
      </c>
      <c r="O26" s="3">
        <f>[1]!s_fa_roa($A26,O$1)</f>
        <v>3.0432999999999999</v>
      </c>
      <c r="P26" s="3">
        <f>[1]!s_fa_roa($A26,P$1)</f>
        <v>1.9318</v>
      </c>
      <c r="Q26" s="3">
        <f>[1]!s_fa_roa($A26,Q$1)</f>
        <v>0.87339999999999995</v>
      </c>
      <c r="R26" s="3">
        <f>[1]!s_fa_roa($A26,R$1)</f>
        <v>4.7682000000000002</v>
      </c>
      <c r="S26" s="3">
        <f>[1]!s_fa_roa($A26,S$1)</f>
        <v>3.6114999999999999</v>
      </c>
      <c r="T26" s="3">
        <f>[1]!s_fa_roa($A26,T$1)</f>
        <v>2.1503000000000001</v>
      </c>
      <c r="U26" s="3">
        <f>[1]!s_fa_roa($A26,U$1)</f>
        <v>0.83360000000000001</v>
      </c>
      <c r="V26" s="3">
        <f>[1]!s_fa_roa($A26,V$1)</f>
        <v>3.8902000000000001</v>
      </c>
      <c r="W26" s="3">
        <f>[1]!s_fa_roa($A26,W$1)</f>
        <v>2.8813</v>
      </c>
      <c r="X26" s="3">
        <f>[1]!s_fa_roa($A26,X$1)</f>
        <v>1.6989000000000001</v>
      </c>
      <c r="Y26" s="3">
        <f>[1]!s_fa_roa($A26,Y$1)</f>
        <v>0.74480000000000002</v>
      </c>
    </row>
    <row r="27" spans="1:25">
      <c r="A27" s="8" t="s">
        <v>25</v>
      </c>
      <c r="B27" s="1" t="s">
        <v>68</v>
      </c>
      <c r="C27" s="3">
        <f ca="1">[1]!s_fa_roa($A27,C$1)</f>
        <v>1.4641999999999999</v>
      </c>
      <c r="D27" s="3">
        <f>[1]!s_fa_roa($A27,D$1)</f>
        <v>1.4641999999999999</v>
      </c>
      <c r="E27" s="3">
        <f>[1]!s_fa_roa($A27,E$1)</f>
        <v>0.78320000000000001</v>
      </c>
      <c r="F27" s="3">
        <f>[1]!s_fa_roa($A27,F$1)</f>
        <v>2.6421999999999999</v>
      </c>
      <c r="G27" s="3">
        <f>[1]!s_fa_roa($A27,G$1)</f>
        <v>2.3330000000000002</v>
      </c>
      <c r="H27" s="3">
        <f>[1]!s_fa_roa($A27,H$1)</f>
        <v>1.3817999999999999</v>
      </c>
      <c r="I27" s="3">
        <f>[1]!s_fa_roa($A27,I$1)</f>
        <v>0.45300000000000001</v>
      </c>
      <c r="J27" s="3">
        <f>[1]!s_fa_roa($A27,J$1)</f>
        <v>1.4089</v>
      </c>
      <c r="K27" s="3">
        <f>[1]!s_fa_roa($A27,K$1)</f>
        <v>1.5277000000000001</v>
      </c>
      <c r="L27" s="3">
        <f>[1]!s_fa_roa($A27,L$1)</f>
        <v>0.57989999999999997</v>
      </c>
      <c r="M27" s="3">
        <f>[1]!s_fa_roa($A27,M$1)</f>
        <v>0.78249999999999997</v>
      </c>
      <c r="N27" s="3">
        <f>[1]!s_fa_roa($A27,N$1)</f>
        <v>1.8685</v>
      </c>
      <c r="O27" s="3">
        <f>[1]!s_fa_roa($A27,O$1)</f>
        <v>1.8222</v>
      </c>
      <c r="P27" s="3">
        <f>[1]!s_fa_roa($A27,P$1)</f>
        <v>0.53249999999999997</v>
      </c>
      <c r="Q27" s="3">
        <f>[1]!s_fa_roa($A27,Q$1)</f>
        <v>7.9899999999999999E-2</v>
      </c>
      <c r="R27" s="3">
        <f>[1]!s_fa_roa($A27,R$1)</f>
        <v>1.5188999999999999</v>
      </c>
      <c r="S27" s="3">
        <f>[1]!s_fa_roa($A27,S$1)</f>
        <v>1.7865</v>
      </c>
      <c r="T27" s="3">
        <f>[1]!s_fa_roa($A27,T$1)</f>
        <v>1.1578999999999999</v>
      </c>
      <c r="U27" s="3">
        <f>[1]!s_fa_roa($A27,U$1)</f>
        <v>0.37640000000000001</v>
      </c>
      <c r="V27" s="3">
        <f>[1]!s_fa_roa($A27,V$1)</f>
        <v>1.2351000000000001</v>
      </c>
      <c r="W27" s="3">
        <f>[1]!s_fa_roa($A27,W$1)</f>
        <v>1.4475</v>
      </c>
      <c r="X27" s="3">
        <f>[1]!s_fa_roa($A27,X$1)</f>
        <v>0.99870000000000003</v>
      </c>
      <c r="Y27" s="3">
        <f>[1]!s_fa_roa($A27,Y$1)</f>
        <v>0.38500000000000001</v>
      </c>
    </row>
    <row r="28" spans="1:25">
      <c r="A28" s="8" t="s">
        <v>26</v>
      </c>
      <c r="B28" s="1" t="s">
        <v>69</v>
      </c>
      <c r="C28" s="3">
        <f ca="1">[1]!s_fa_roa($A28,C$1)</f>
        <v>1.2262</v>
      </c>
      <c r="D28" s="3">
        <f>[1]!s_fa_roa($A28,D$1)</f>
        <v>1.2262</v>
      </c>
      <c r="E28" s="3">
        <f>[1]!s_fa_roa($A28,E$1)</f>
        <v>0.3805</v>
      </c>
      <c r="F28" s="3">
        <f>[1]!s_fa_roa($A28,F$1)</f>
        <v>1.768</v>
      </c>
      <c r="G28" s="3">
        <f>[1]!s_fa_roa($A28,G$1)</f>
        <v>2.0102000000000002</v>
      </c>
      <c r="H28" s="3">
        <f>[1]!s_fa_roa($A28,H$1)</f>
        <v>1.0811999999999999</v>
      </c>
      <c r="I28" s="3">
        <f>[1]!s_fa_roa($A28,I$1)</f>
        <v>-6.1499999999999999E-2</v>
      </c>
      <c r="J28" s="3">
        <f>[1]!s_fa_roa($A28,J$1)</f>
        <v>1.4117999999999999</v>
      </c>
      <c r="K28" s="3">
        <f>[1]!s_fa_roa($A28,K$1)</f>
        <v>2.4056000000000002</v>
      </c>
      <c r="L28" s="3">
        <f>[1]!s_fa_roa($A28,L$1)</f>
        <v>1.9158999999999999</v>
      </c>
      <c r="M28" s="3">
        <f>[1]!s_fa_roa($A28,M$1)</f>
        <v>0.66590000000000005</v>
      </c>
      <c r="N28" s="3">
        <f>[1]!s_fa_roa($A28,N$1)</f>
        <v>2.1545999999999998</v>
      </c>
      <c r="O28" s="3">
        <f>[1]!s_fa_roa($A28,O$1)</f>
        <v>2.5988000000000002</v>
      </c>
      <c r="P28" s="3">
        <f>[1]!s_fa_roa($A28,P$1)</f>
        <v>1.6591</v>
      </c>
      <c r="Q28" s="3">
        <f>[1]!s_fa_roa($A28,Q$1)</f>
        <v>0.53790000000000004</v>
      </c>
      <c r="R28" s="3">
        <f>[1]!s_fa_roa($A28,R$1)</f>
        <v>4.6280999999999999</v>
      </c>
      <c r="S28" s="3">
        <f>[1]!s_fa_roa($A28,S$1)</f>
        <v>2.8046000000000002</v>
      </c>
      <c r="T28" s="3">
        <f>[1]!s_fa_roa($A28,T$1)</f>
        <v>1.7208000000000001</v>
      </c>
      <c r="U28" s="3">
        <f>[1]!s_fa_roa($A28,U$1)</f>
        <v>0.54969999999999997</v>
      </c>
      <c r="V28" s="3">
        <f>[1]!s_fa_roa($A28,V$1)</f>
        <v>6.3853999999999997</v>
      </c>
      <c r="W28" s="3">
        <f>[1]!s_fa_roa($A28,W$1)</f>
        <v>4.6155999999999997</v>
      </c>
      <c r="X28" s="3">
        <f>[1]!s_fa_roa($A28,X$1)</f>
        <v>3.0518999999999998</v>
      </c>
      <c r="Y28" s="3">
        <f>[1]!s_fa_roa($A28,Y$1)</f>
        <v>1.6947000000000001</v>
      </c>
    </row>
    <row r="29" spans="1:25">
      <c r="A29" s="8" t="s">
        <v>27</v>
      </c>
      <c r="B29" s="1" t="s">
        <v>70</v>
      </c>
      <c r="C29" s="3">
        <f ca="1">[1]!s_fa_roa($A29,C$1)</f>
        <v>2.8532000000000002</v>
      </c>
      <c r="D29" s="3">
        <f>[1]!s_fa_roa($A29,D$1)</f>
        <v>2.8532000000000002</v>
      </c>
      <c r="E29" s="3">
        <f>[1]!s_fa_roa($A29,E$1)</f>
        <v>1.0801000000000001</v>
      </c>
      <c r="F29" s="3">
        <f>[1]!s_fa_roa($A29,F$1)</f>
        <v>0.3795</v>
      </c>
      <c r="G29" s="3">
        <f>[1]!s_fa_roa($A29,G$1)</f>
        <v>2.9140999999999999</v>
      </c>
      <c r="H29" s="3">
        <f>[1]!s_fa_roa($A29,H$1)</f>
        <v>1.7242999999999999</v>
      </c>
      <c r="I29" s="3">
        <f>[1]!s_fa_roa($A29,I$1)</f>
        <v>0.57730000000000004</v>
      </c>
      <c r="J29" s="3">
        <f>[1]!s_fa_roa($A29,J$1)</f>
        <v>-1.512</v>
      </c>
      <c r="K29" s="3">
        <f>[1]!s_fa_roa($A29,K$1)</f>
        <v>2.9401000000000002</v>
      </c>
      <c r="L29" s="3">
        <f>[1]!s_fa_roa($A29,L$1)</f>
        <v>1.4491000000000001</v>
      </c>
      <c r="M29" s="3">
        <f>[1]!s_fa_roa($A29,M$1)</f>
        <v>1.1412</v>
      </c>
      <c r="N29" s="3">
        <f>[1]!s_fa_roa($A29,N$1)</f>
        <v>-1.7184999999999999</v>
      </c>
      <c r="O29" s="3">
        <f>[1]!s_fa_roa($A29,O$1)</f>
        <v>4.0388999999999999</v>
      </c>
      <c r="P29" s="3">
        <f>[1]!s_fa_roa($A29,P$1)</f>
        <v>3.0009000000000001</v>
      </c>
      <c r="Q29" s="3">
        <f>[1]!s_fa_roa($A29,Q$1)</f>
        <v>1.5103</v>
      </c>
      <c r="R29" s="3">
        <f>[1]!s_fa_roa($A29,R$1)</f>
        <v>3.9182999999999999</v>
      </c>
      <c r="S29" s="3">
        <f>[1]!s_fa_roa($A29,S$1)</f>
        <v>4.4896000000000003</v>
      </c>
      <c r="T29" s="3">
        <f>[1]!s_fa_roa($A29,T$1)</f>
        <v>3.3195999999999999</v>
      </c>
      <c r="U29" s="3">
        <f>[1]!s_fa_roa($A29,U$1)</f>
        <v>1.5797000000000001</v>
      </c>
      <c r="V29" s="3">
        <f>[1]!s_fa_roa($A29,V$1)</f>
        <v>6.2701000000000002</v>
      </c>
      <c r="W29" s="3">
        <f>[1]!s_fa_roa($A29,W$1)</f>
        <v>4.5961999999999996</v>
      </c>
      <c r="X29" s="3">
        <f>[1]!s_fa_roa($A29,X$1)</f>
        <v>3.0528</v>
      </c>
      <c r="Y29" s="3">
        <f>[1]!s_fa_roa($A29,Y$1)</f>
        <v>1.3701000000000001</v>
      </c>
    </row>
    <row r="30" spans="1:25">
      <c r="A30" s="8" t="s">
        <v>28</v>
      </c>
      <c r="B30" s="1" t="s">
        <v>71</v>
      </c>
      <c r="C30" s="3">
        <f ca="1">[1]!s_fa_roa($A30,C$1)</f>
        <v>1.1153999999999999</v>
      </c>
      <c r="D30" s="3">
        <f>[1]!s_fa_roa($A30,D$1)</f>
        <v>1.1153999999999999</v>
      </c>
      <c r="E30" s="3">
        <f>[1]!s_fa_roa($A30,E$1)</f>
        <v>0.25690000000000002</v>
      </c>
      <c r="F30" s="3">
        <f>[1]!s_fa_roa($A30,F$1)</f>
        <v>-0.2268</v>
      </c>
      <c r="G30" s="3">
        <f>[1]!s_fa_roa($A30,G$1)</f>
        <v>1.1075999999999999</v>
      </c>
      <c r="H30" s="3">
        <f>[1]!s_fa_roa($A30,H$1)</f>
        <v>0.57850000000000001</v>
      </c>
      <c r="I30" s="3">
        <f>[1]!s_fa_roa($A30,I$1)</f>
        <v>0.1055</v>
      </c>
      <c r="J30" s="3">
        <f>[1]!s_fa_roa($A30,J$1)</f>
        <v>1.994</v>
      </c>
      <c r="K30" s="3">
        <f>[1]!s_fa_roa($A30,K$1)</f>
        <v>1.7119</v>
      </c>
      <c r="L30" s="3">
        <f>[1]!s_fa_roa($A30,L$1)</f>
        <v>1.2161</v>
      </c>
      <c r="M30" s="3">
        <f>[1]!s_fa_roa($A30,M$1)</f>
        <v>0.33500000000000002</v>
      </c>
      <c r="N30" s="3">
        <f>[1]!s_fa_roa($A30,N$1)</f>
        <v>0.27810000000000001</v>
      </c>
      <c r="O30" s="3">
        <f>[1]!s_fa_roa($A30,O$1)</f>
        <v>1.4063000000000001</v>
      </c>
      <c r="P30" s="3">
        <f>[1]!s_fa_roa($A30,P$1)</f>
        <v>0.93420000000000003</v>
      </c>
      <c r="Q30" s="3">
        <f>[1]!s_fa_roa($A30,Q$1)</f>
        <v>0.22289999999999999</v>
      </c>
      <c r="R30" s="3">
        <f>[1]!s_fa_roa($A30,R$1)</f>
        <v>2.2204999999999999</v>
      </c>
      <c r="S30" s="3">
        <f>[1]!s_fa_roa($A30,S$1)</f>
        <v>1.8271999999999999</v>
      </c>
      <c r="T30" s="3">
        <f>[1]!s_fa_roa($A30,T$1)</f>
        <v>1.1967000000000001</v>
      </c>
      <c r="U30" s="3">
        <f>[1]!s_fa_roa($A30,U$1)</f>
        <v>0.34029999999999999</v>
      </c>
      <c r="V30" s="3">
        <f>[1]!s_fa_roa($A30,V$1)</f>
        <v>1.8818999999999999</v>
      </c>
      <c r="W30" s="3">
        <f>[1]!s_fa_roa($A30,W$1)</f>
        <v>1.8779999999999999</v>
      </c>
      <c r="X30" s="3">
        <f>[1]!s_fa_roa($A30,X$1)</f>
        <v>1.1664000000000001</v>
      </c>
      <c r="Y30" s="3">
        <f>[1]!s_fa_roa($A30,Y$1)</f>
        <v>0.37390000000000001</v>
      </c>
    </row>
    <row r="31" spans="1:25">
      <c r="A31" s="8" t="s">
        <v>29</v>
      </c>
      <c r="B31" s="1" t="s">
        <v>72</v>
      </c>
      <c r="C31" s="3">
        <f ca="1">[1]!s_fa_roa($A31,C$1)</f>
        <v>1.2984</v>
      </c>
      <c r="D31" s="3">
        <f>[1]!s_fa_roa($A31,D$1)</f>
        <v>1.2984</v>
      </c>
      <c r="E31" s="3">
        <f>[1]!s_fa_roa($A31,E$1)</f>
        <v>0.50329999999999997</v>
      </c>
      <c r="F31" s="3">
        <f>[1]!s_fa_roa($A31,F$1)</f>
        <v>2.5116999999999998</v>
      </c>
      <c r="G31" s="3">
        <f>[1]!s_fa_roa($A31,G$1)</f>
        <v>2.3866999999999998</v>
      </c>
      <c r="H31" s="3">
        <f>[1]!s_fa_roa($A31,H$1)</f>
        <v>1.3288</v>
      </c>
      <c r="I31" s="3">
        <f>[1]!s_fa_roa($A31,I$1)</f>
        <v>0.50349999999999995</v>
      </c>
      <c r="J31" s="3">
        <f>[1]!s_fa_roa($A31,J$1)</f>
        <v>2.9685000000000001</v>
      </c>
      <c r="K31" s="3" t="str">
        <f>[1]!s_fa_roa($A31,K$1)</f>
        <v>#N/A</v>
      </c>
      <c r="L31" s="3" t="str">
        <f>[1]!s_fa_roa($A31,L$1)</f>
        <v>#N/A</v>
      </c>
      <c r="M31" s="3" t="str">
        <f>[1]!s_fa_roa($A31,M$1)</f>
        <v>#N/A</v>
      </c>
      <c r="N31" s="3" t="str">
        <f>[1]!s_fa_roa($A31,N$1)</f>
        <v>#N/A</v>
      </c>
      <c r="O31" s="3" t="str">
        <f>[1]!s_fa_roa($A31,O$1)</f>
        <v>#N/A</v>
      </c>
      <c r="P31" s="3" t="str">
        <f>[1]!s_fa_roa($A31,P$1)</f>
        <v>#N/A</v>
      </c>
      <c r="Q31" s="3" t="str">
        <f>[1]!s_fa_roa($A31,Q$1)</f>
        <v>#N/A</v>
      </c>
      <c r="R31" s="3" t="str">
        <f>[1]!s_fa_roa($A31,R$1)</f>
        <v>#N/A</v>
      </c>
      <c r="S31" s="3" t="str">
        <f>[1]!s_fa_roa($A31,S$1)</f>
        <v>#N/A</v>
      </c>
      <c r="T31" s="3" t="str">
        <f>[1]!s_fa_roa($A31,T$1)</f>
        <v>#N/A</v>
      </c>
      <c r="U31" s="3" t="str">
        <f>[1]!s_fa_roa($A31,U$1)</f>
        <v>#N/A</v>
      </c>
      <c r="V31" s="3" t="str">
        <f>[1]!s_fa_roa($A31,V$1)</f>
        <v>#N/A</v>
      </c>
      <c r="W31" s="3" t="str">
        <f>[1]!s_fa_roa($A31,W$1)</f>
        <v>#N/A</v>
      </c>
      <c r="X31" s="3" t="str">
        <f>[1]!s_fa_roa($A31,X$1)</f>
        <v>#N/A</v>
      </c>
      <c r="Y31" s="3" t="str">
        <f>[1]!s_fa_roa($A31,Y$1)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D1" display="ROA" xr:uid="{95AA9642-C590-3E40-94BF-80F45EF745AD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414D2-EDDC-0C4F-9F92-C80F667F60F8}">
  <sheetPr codeName="Sheet4"/>
  <dimension ref="A1:Y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baseColWidth="10" defaultRowHeight="16"/>
  <cols>
    <col min="3" max="3" width="12" bestFit="1" customWidth="1"/>
    <col min="4" max="25" width="12.1640625" bestFit="1" customWidth="1"/>
  </cols>
  <sheetData>
    <row r="1" spans="1:25">
      <c r="A1" s="6" t="s">
        <v>34</v>
      </c>
      <c r="B1" s="14">
        <f ca="1">TODAY()</f>
        <v>44440</v>
      </c>
      <c r="C1" s="4">
        <f ca="1">[1]!TDays("2016-01-01",B1,"Days=Alldays","Period=Q","Direction=H","Order=D","cols=23;rows=1")</f>
        <v>44440</v>
      </c>
      <c r="D1" s="2">
        <v>44377</v>
      </c>
      <c r="E1" s="2">
        <v>44286</v>
      </c>
      <c r="F1" s="2">
        <v>44196</v>
      </c>
      <c r="G1" s="2">
        <v>44104</v>
      </c>
      <c r="H1" s="2">
        <v>44012</v>
      </c>
      <c r="I1" s="2">
        <v>43921</v>
      </c>
      <c r="J1" s="2">
        <v>43830</v>
      </c>
      <c r="K1" s="2">
        <v>43738</v>
      </c>
      <c r="L1" s="2">
        <v>43646</v>
      </c>
      <c r="M1" s="2">
        <v>43555</v>
      </c>
      <c r="N1" s="2">
        <v>43465</v>
      </c>
      <c r="O1" s="2">
        <v>43373</v>
      </c>
      <c r="P1" s="2">
        <v>43281</v>
      </c>
      <c r="Q1" s="2">
        <v>43190</v>
      </c>
      <c r="R1" s="2">
        <v>43100</v>
      </c>
      <c r="S1" s="2">
        <v>43008</v>
      </c>
      <c r="T1" s="2">
        <v>42916</v>
      </c>
      <c r="U1" s="2">
        <v>42825</v>
      </c>
      <c r="V1" s="2">
        <v>42735</v>
      </c>
      <c r="W1" s="2">
        <v>42643</v>
      </c>
      <c r="X1" s="2">
        <v>42551</v>
      </c>
      <c r="Y1" s="2">
        <v>42460</v>
      </c>
    </row>
    <row r="2" spans="1:25">
      <c r="A2" s="1" t="s">
        <v>0</v>
      </c>
      <c r="B2" s="1" t="s">
        <v>43</v>
      </c>
      <c r="C2" s="3" t="str">
        <f ca="1">[1]!s_fa_roe($A2,C$1)</f>
        <v>#N/A</v>
      </c>
      <c r="D2" s="3">
        <f>[1]!s_fa_roe($A2,D$1)</f>
        <v>5.2481</v>
      </c>
      <c r="E2" s="3">
        <f>[1]!s_fa_roe($A2,E$1)</f>
        <v>2.5722</v>
      </c>
      <c r="F2" s="3">
        <f>[1]!s_fa_roe($A2,F$1)</f>
        <v>3.7565</v>
      </c>
      <c r="G2" s="3">
        <f>[1]!s_fa_roe($A2,G$1)</f>
        <v>2.6135000000000002</v>
      </c>
      <c r="H2" s="3">
        <f>[1]!s_fa_roe($A2,H$1)</f>
        <v>-1.6439999999999999</v>
      </c>
      <c r="I2" s="3">
        <f>[1]!s_fa_roe($A2,I$1)</f>
        <v>-1.3408</v>
      </c>
      <c r="J2" s="3">
        <f>[1]!s_fa_roe($A2,J$1)</f>
        <v>5.8856000000000002</v>
      </c>
      <c r="K2" s="3">
        <f>[1]!s_fa_roe($A2,K$1)</f>
        <v>4.7053000000000003</v>
      </c>
      <c r="L2" s="3">
        <f>[1]!s_fa_roe($A2,L$1)</f>
        <v>3.3012999999999999</v>
      </c>
      <c r="M2" s="3">
        <f>[1]!s_fa_roe($A2,M$1)</f>
        <v>1.3157000000000001</v>
      </c>
      <c r="N2" s="3">
        <f>[1]!s_fa_roe($A2,N$1)</f>
        <v>6.3105000000000002</v>
      </c>
      <c r="O2" s="3">
        <f>[1]!s_fa_roe($A2,O$1)</f>
        <v>5.9607999999999999</v>
      </c>
      <c r="P2" s="3">
        <f>[1]!s_fa_roe($A2,P$1)</f>
        <v>3.6804000000000001</v>
      </c>
      <c r="Q2" s="3">
        <f>[1]!s_fa_roe($A2,Q$1)</f>
        <v>1.5853999999999999</v>
      </c>
      <c r="R2" s="3">
        <f>[1]!s_fa_roe($A2,R$1)</f>
        <v>3.9851999999999999</v>
      </c>
      <c r="S2" s="3">
        <f>[1]!s_fa_roe($A2,S$1)</f>
        <v>3.1368</v>
      </c>
      <c r="T2" s="3">
        <f>[1]!s_fa_roe($A2,T$1)</f>
        <v>2.1837</v>
      </c>
      <c r="U2" s="3">
        <f>[1]!s_fa_roe($A2,U$1)</f>
        <v>1.202</v>
      </c>
      <c r="V2" s="3">
        <f>[1]!s_fa_roe($A2,V$1)</f>
        <v>2.8359999999999999</v>
      </c>
      <c r="W2" s="3">
        <f>[1]!s_fa_roe($A2,W$1)</f>
        <v>1.5357000000000001</v>
      </c>
      <c r="X2" s="3">
        <f>[1]!s_fa_roe($A2,X$1)</f>
        <v>0.86519999999999997</v>
      </c>
      <c r="Y2" s="3">
        <f>[1]!s_fa_roe($A2,Y$1)</f>
        <v>-0.27039999999999997</v>
      </c>
    </row>
    <row r="3" spans="1:25">
      <c r="A3" s="1" t="s">
        <v>1</v>
      </c>
      <c r="B3" s="1" t="s">
        <v>44</v>
      </c>
      <c r="C3" s="3" t="str">
        <f ca="1">[1]!s_fa_roe($A3,C$1)</f>
        <v>#N/A</v>
      </c>
      <c r="D3" s="3">
        <f>[1]!s_fa_roe($A3,D$1)</f>
        <v>7.7988</v>
      </c>
      <c r="E3" s="3">
        <f>[1]!s_fa_roe($A3,E$1)</f>
        <v>3.4346000000000001</v>
      </c>
      <c r="F3" s="3">
        <f>[1]!s_fa_roe($A3,F$1)</f>
        <v>10.006600000000001</v>
      </c>
      <c r="G3" s="3">
        <f>[1]!s_fa_roe($A3,G$1)</f>
        <v>8.0084</v>
      </c>
      <c r="H3" s="3">
        <f>[1]!s_fa_roe($A3,H$1)</f>
        <v>4.8948999999999998</v>
      </c>
      <c r="I3" s="3">
        <f>[1]!s_fa_roe($A3,I$1)</f>
        <v>2.2027999999999999</v>
      </c>
      <c r="J3" s="3">
        <f>[1]!s_fa_roe($A3,J$1)</f>
        <v>11.058999999999999</v>
      </c>
      <c r="K3" s="3">
        <f>[1]!s_fa_roe($A3,K$1)</f>
        <v>9.5050000000000008</v>
      </c>
      <c r="L3" s="3">
        <f>[1]!s_fa_roe($A3,L$1)</f>
        <v>6.4724000000000004</v>
      </c>
      <c r="M3" s="3">
        <f>[1]!s_fa_roe($A3,M$1)</f>
        <v>3.2281</v>
      </c>
      <c r="N3" s="3">
        <f>[1]!s_fa_roe($A3,N$1)</f>
        <v>11.878</v>
      </c>
      <c r="O3" s="3">
        <f>[1]!s_fa_roe($A3,O$1)</f>
        <v>9.8704999999999998</v>
      </c>
      <c r="P3" s="3">
        <f>[1]!s_fa_roe($A3,P$1)</f>
        <v>6.7464000000000004</v>
      </c>
      <c r="Q3" s="3">
        <f>[1]!s_fa_roe($A3,Q$1)</f>
        <v>3.3656000000000001</v>
      </c>
      <c r="R3" s="3">
        <f>[1]!s_fa_roe($A3,R$1)</f>
        <v>11.882099999999999</v>
      </c>
      <c r="S3" s="3">
        <f>[1]!s_fa_roe($A3,S$1)</f>
        <v>9.5489999999999995</v>
      </c>
      <c r="T3" s="3">
        <f>[1]!s_fa_roe($A3,T$1)</f>
        <v>6.6433</v>
      </c>
      <c r="U3" s="3">
        <f>[1]!s_fa_roe($A3,U$1)</f>
        <v>3.3031000000000001</v>
      </c>
      <c r="V3" s="3">
        <f>[1]!s_fa_roe($A3,V$1)</f>
        <v>4.8937999999999997</v>
      </c>
      <c r="W3" s="3">
        <f>[1]!s_fa_roe($A3,W$1)</f>
        <v>2.7835000000000001</v>
      </c>
      <c r="X3" s="3">
        <f>[1]!s_fa_roe($A3,X$1)</f>
        <v>1.4666999999999999</v>
      </c>
      <c r="Y3" s="3">
        <f>[1]!s_fa_roe($A3,Y$1)</f>
        <v>0.53569999999999995</v>
      </c>
    </row>
    <row r="4" spans="1:25">
      <c r="A4" s="1" t="s">
        <v>2</v>
      </c>
      <c r="B4" s="1" t="s">
        <v>45</v>
      </c>
      <c r="C4" s="3" t="str">
        <f ca="1">[1]!s_fa_roe($A4,C$1)</f>
        <v>#N/A</v>
      </c>
      <c r="D4" s="3">
        <f>[1]!s_fa_roe($A4,D$1)</f>
        <v>6.3075999999999999</v>
      </c>
      <c r="E4" s="3">
        <f>[1]!s_fa_roe($A4,E$1)</f>
        <v>2.4946000000000002</v>
      </c>
      <c r="F4" s="3">
        <f>[1]!s_fa_roe($A4,F$1)</f>
        <v>5.9893999999999998</v>
      </c>
      <c r="G4" s="3">
        <f>[1]!s_fa_roe($A4,G$1)</f>
        <v>3.8854000000000002</v>
      </c>
      <c r="H4" s="3">
        <f>[1]!s_fa_roe($A4,H$1)</f>
        <v>1.9391</v>
      </c>
      <c r="I4" s="3">
        <f>[1]!s_fa_roe($A4,I$1)</f>
        <v>0.60819999999999996</v>
      </c>
      <c r="J4" s="3">
        <f>[1]!s_fa_roe($A4,J$1)</f>
        <v>1.2465999999999999</v>
      </c>
      <c r="K4" s="3">
        <f>[1]!s_fa_roe($A4,K$1)</f>
        <v>3.9588000000000001</v>
      </c>
      <c r="L4" s="3">
        <f>[1]!s_fa_roe($A4,L$1)</f>
        <v>2.6465000000000001</v>
      </c>
      <c r="M4" s="3">
        <f>[1]!s_fa_roe($A4,M$1)</f>
        <v>1.2284999999999999</v>
      </c>
      <c r="N4" s="3">
        <f>[1]!s_fa_roe($A4,N$1)</f>
        <v>2.8165</v>
      </c>
      <c r="O4" s="3">
        <f>[1]!s_fa_roe($A4,O$1)</f>
        <v>5.6108000000000002</v>
      </c>
      <c r="P4" s="3">
        <f>[1]!s_fa_roe($A4,P$1)</f>
        <v>4.0281000000000002</v>
      </c>
      <c r="Q4" s="3">
        <f>[1]!s_fa_roe($A4,Q$1)</f>
        <v>1.9735</v>
      </c>
      <c r="R4" s="3">
        <f>[1]!s_fa_roe($A4,R$1)</f>
        <v>6.6787999999999998</v>
      </c>
      <c r="S4" s="3">
        <f>[1]!s_fa_roe($A4,S$1)</f>
        <v>5.5572999999999997</v>
      </c>
      <c r="T4" s="3">
        <f>[1]!s_fa_roe($A4,T$1)</f>
        <v>3.3561999999999999</v>
      </c>
      <c r="U4" s="3">
        <f>[1]!s_fa_roe($A4,U$1)</f>
        <v>1.5851999999999999</v>
      </c>
      <c r="V4" s="3">
        <f>[1]!s_fa_roe($A4,V$1)</f>
        <v>3.8927999999999998</v>
      </c>
      <c r="W4" s="3">
        <f>[1]!s_fa_roe($A4,W$1)</f>
        <v>2.9693000000000001</v>
      </c>
      <c r="X4" s="3">
        <f>[1]!s_fa_roe($A4,X$1)</f>
        <v>1.6134999999999999</v>
      </c>
      <c r="Y4" s="3">
        <f>[1]!s_fa_roe($A4,Y$1)</f>
        <v>0.48089999999999999</v>
      </c>
    </row>
    <row r="5" spans="1:25">
      <c r="A5" s="1" t="s">
        <v>3</v>
      </c>
      <c r="B5" s="1" t="s">
        <v>46</v>
      </c>
      <c r="C5" s="3" t="str">
        <f ca="1">[1]!s_fa_roe($A5,C$1)</f>
        <v>#N/A</v>
      </c>
      <c r="D5" s="3">
        <f>[1]!s_fa_roe($A5,D$1)</f>
        <v>4.0720999999999998</v>
      </c>
      <c r="E5" s="3">
        <f>[1]!s_fa_roe($A5,E$1)</f>
        <v>1.9068000000000001</v>
      </c>
      <c r="F5" s="3">
        <f>[1]!s_fa_roe($A5,F$1)</f>
        <v>7.8829000000000002</v>
      </c>
      <c r="G5" s="3">
        <f>[1]!s_fa_roe($A5,G$1)</f>
        <v>7.2629000000000001</v>
      </c>
      <c r="H5" s="3">
        <f>[1]!s_fa_roe($A5,H$1)</f>
        <v>4.0766</v>
      </c>
      <c r="I5" s="3">
        <f>[1]!s_fa_roe($A5,I$1)</f>
        <v>1.2917000000000001</v>
      </c>
      <c r="J5" s="3">
        <f>[1]!s_fa_roe($A5,J$1)</f>
        <v>6.6424000000000003</v>
      </c>
      <c r="K5" s="3">
        <f>[1]!s_fa_roe($A5,K$1)</f>
        <v>6.4236000000000004</v>
      </c>
      <c r="L5" s="3">
        <f>[1]!s_fa_roe($A5,L$1)</f>
        <v>3.9815999999999998</v>
      </c>
      <c r="M5" s="3">
        <f>[1]!s_fa_roe($A5,M$1)</f>
        <v>1.9898</v>
      </c>
      <c r="N5" s="3">
        <f>[1]!s_fa_roe($A5,N$1)</f>
        <v>6.2610000000000001</v>
      </c>
      <c r="O5" s="3">
        <f>[1]!s_fa_roe($A5,O$1)</f>
        <v>6.0180999999999996</v>
      </c>
      <c r="P5" s="3">
        <f>[1]!s_fa_roe($A5,P$1)</f>
        <v>3.7902</v>
      </c>
      <c r="Q5" s="3">
        <f>[1]!s_fa_roe($A5,Q$1)</f>
        <v>1.7266999999999999</v>
      </c>
      <c r="R5" s="3">
        <f>[1]!s_fa_roe($A5,R$1)</f>
        <v>6.9322999999999997</v>
      </c>
      <c r="S5" s="3">
        <f>[1]!s_fa_roe($A5,S$1)</f>
        <v>6.1769999999999996</v>
      </c>
      <c r="T5" s="3">
        <f>[1]!s_fa_roe($A5,T$1)</f>
        <v>3.4548999999999999</v>
      </c>
      <c r="U5" s="3">
        <f>[1]!s_fa_roe($A5,U$1)</f>
        <v>1.5103</v>
      </c>
      <c r="V5" s="3">
        <f>[1]!s_fa_roe($A5,V$1)</f>
        <v>9.5688999999999993</v>
      </c>
      <c r="W5" s="3">
        <f>[1]!s_fa_roe($A5,W$1)</f>
        <v>8.2485999999999997</v>
      </c>
      <c r="X5" s="3">
        <f>[1]!s_fa_roe($A5,X$1)</f>
        <v>5.5486000000000004</v>
      </c>
      <c r="Y5" s="3">
        <f>[1]!s_fa_roe($A5,Y$1)</f>
        <v>2.5928</v>
      </c>
    </row>
    <row r="6" spans="1:25">
      <c r="A6" s="1" t="s">
        <v>4</v>
      </c>
      <c r="B6" s="1" t="s">
        <v>47</v>
      </c>
      <c r="C6" s="3" t="str">
        <f ca="1">[1]!s_fa_roe($A6,C$1)</f>
        <v>#N/A</v>
      </c>
      <c r="D6" s="3">
        <f>[1]!s_fa_roe($A6,D$1)</f>
        <v>9.2714999999999996</v>
      </c>
      <c r="E6" s="3">
        <f>[1]!s_fa_roe($A6,E$1)</f>
        <v>3.3048999999999999</v>
      </c>
      <c r="F6" s="3">
        <f>[1]!s_fa_roe($A6,F$1)</f>
        <v>7.7356999999999996</v>
      </c>
      <c r="G6" s="3">
        <f>[1]!s_fa_roe($A6,G$1)</f>
        <v>5.4611999999999998</v>
      </c>
      <c r="H6" s="3">
        <f>[1]!s_fa_roe($A6,H$1)</f>
        <v>3.0146999999999999</v>
      </c>
      <c r="I6" s="3">
        <f>[1]!s_fa_roe($A6,I$1)</f>
        <v>1.0047999999999999</v>
      </c>
      <c r="J6" s="3">
        <f>[1]!s_fa_roe($A6,J$1)</f>
        <v>8.1156000000000006</v>
      </c>
      <c r="K6" s="3">
        <f>[1]!s_fa_roe($A6,K$1)</f>
        <v>6.4984999999999999</v>
      </c>
      <c r="L6" s="3">
        <f>[1]!s_fa_roe($A6,L$1)</f>
        <v>4.5486000000000004</v>
      </c>
      <c r="M6" s="3">
        <f>[1]!s_fa_roe($A6,M$1)</f>
        <v>1.7745</v>
      </c>
      <c r="N6" s="3">
        <f>[1]!s_fa_roe($A6,N$1)</f>
        <v>15.2209</v>
      </c>
      <c r="O6" s="3">
        <f>[1]!s_fa_roe($A6,O$1)</f>
        <v>12.6357</v>
      </c>
      <c r="P6" s="3">
        <f>[1]!s_fa_roe($A6,P$1)</f>
        <v>8.0470000000000006</v>
      </c>
      <c r="Q6" s="3">
        <f>[1]!s_fa_roe($A6,Q$1)</f>
        <v>3.4346000000000001</v>
      </c>
      <c r="R6" s="3">
        <f>[1]!s_fa_roe($A6,R$1)</f>
        <v>13.099600000000001</v>
      </c>
      <c r="S6" s="3">
        <f>[1]!s_fa_roe($A6,S$1)</f>
        <v>8.5671999999999997</v>
      </c>
      <c r="T6" s="3">
        <f>[1]!s_fa_roe($A6,T$1)</f>
        <v>4.1112000000000002</v>
      </c>
      <c r="U6" s="3">
        <f>[1]!s_fa_roe($A6,U$1)</f>
        <v>2.0909</v>
      </c>
      <c r="V6" s="3">
        <f>[1]!s_fa_roe($A6,V$1)</f>
        <v>1.8139000000000001</v>
      </c>
      <c r="W6" s="3">
        <f>[1]!s_fa_roe($A6,W$1)</f>
        <v>1.5789</v>
      </c>
      <c r="X6" s="3">
        <f>[1]!s_fa_roe($A6,X$1)</f>
        <v>0.6744</v>
      </c>
      <c r="Y6" s="3">
        <f>[1]!s_fa_roe($A6,Y$1)</f>
        <v>-0.75219999999999998</v>
      </c>
    </row>
    <row r="7" spans="1:25">
      <c r="A7" s="1" t="s">
        <v>5</v>
      </c>
      <c r="B7" s="1" t="s">
        <v>48</v>
      </c>
      <c r="C7" s="3" t="str">
        <f ca="1">[1]!s_fa_roe($A7,C$1)</f>
        <v>#N/A</v>
      </c>
      <c r="D7" s="3">
        <f>[1]!s_fa_roe($A7,D$1)</f>
        <v>8.6410999999999998</v>
      </c>
      <c r="E7" s="3">
        <f>[1]!s_fa_roe($A7,E$1)</f>
        <v>3.7806000000000002</v>
      </c>
      <c r="F7" s="3">
        <f>[1]!s_fa_roe($A7,F$1)</f>
        <v>7.1981999999999999</v>
      </c>
      <c r="G7" s="3">
        <f>[1]!s_fa_roe($A7,G$1)</f>
        <v>6.2103000000000002</v>
      </c>
      <c r="H7" s="3">
        <f>[1]!s_fa_roe($A7,H$1)</f>
        <v>3.8628999999999998</v>
      </c>
      <c r="I7" s="3">
        <f>[1]!s_fa_roe($A7,I$1)</f>
        <v>1.3258000000000001</v>
      </c>
      <c r="J7" s="3">
        <f>[1]!s_fa_roe($A7,J$1)</f>
        <v>2.2412000000000001</v>
      </c>
      <c r="K7" s="3">
        <f>[1]!s_fa_roe($A7,K$1)</f>
        <v>7.0602</v>
      </c>
      <c r="L7" s="3">
        <f>[1]!s_fa_roe($A7,L$1)</f>
        <v>4.9874999999999998</v>
      </c>
      <c r="M7" s="3">
        <f>[1]!s_fa_roe($A7,M$1)</f>
        <v>2.2886000000000002</v>
      </c>
      <c r="N7" s="3">
        <f>[1]!s_fa_roe($A7,N$1)</f>
        <v>10.2989</v>
      </c>
      <c r="O7" s="3">
        <f>[1]!s_fa_roe($A7,O$1)</f>
        <v>9.5206999999999997</v>
      </c>
      <c r="P7" s="3">
        <f>[1]!s_fa_roe($A7,P$1)</f>
        <v>6.7186000000000003</v>
      </c>
      <c r="Q7" s="3">
        <f>[1]!s_fa_roe($A7,Q$1)</f>
        <v>2.9940000000000002</v>
      </c>
      <c r="R7" s="3">
        <f>[1]!s_fa_roe($A7,R$1)</f>
        <v>8.4817999999999998</v>
      </c>
      <c r="S7" s="3">
        <f>[1]!s_fa_roe($A7,S$1)</f>
        <v>7.7617000000000003</v>
      </c>
      <c r="T7" s="3">
        <f>[1]!s_fa_roe($A7,T$1)</f>
        <v>5.077</v>
      </c>
      <c r="U7" s="3">
        <f>[1]!s_fa_roe($A7,U$1)</f>
        <v>2.3872</v>
      </c>
      <c r="V7" s="3">
        <f>[1]!s_fa_roe($A7,V$1)</f>
        <v>3.7202000000000002</v>
      </c>
      <c r="W7" s="3">
        <f>[1]!s_fa_roe($A7,W$1)</f>
        <v>3.5175000000000001</v>
      </c>
      <c r="X7" s="3">
        <f>[1]!s_fa_roe($A7,X$1)</f>
        <v>2.6608999999999998</v>
      </c>
      <c r="Y7" s="3">
        <f>[1]!s_fa_roe($A7,Y$1)</f>
        <v>1.0842000000000001</v>
      </c>
    </row>
    <row r="8" spans="1:25">
      <c r="A8" s="1" t="s">
        <v>6</v>
      </c>
      <c r="B8" s="1" t="s">
        <v>49</v>
      </c>
      <c r="C8" s="3" t="str">
        <f ca="1">[1]!s_fa_roe($A8,C$1)</f>
        <v>#N/A</v>
      </c>
      <c r="D8" s="3">
        <f>[1]!s_fa_roe($A8,D$1)</f>
        <v>4.9381000000000004</v>
      </c>
      <c r="E8" s="3">
        <f>[1]!s_fa_roe($A8,E$1)</f>
        <v>2.1659000000000002</v>
      </c>
      <c r="F8" s="3">
        <f>[1]!s_fa_roe($A8,F$1)</f>
        <v>9.3370999999999995</v>
      </c>
      <c r="G8" s="3">
        <f>[1]!s_fa_roe($A8,G$1)</f>
        <v>6.6993999999999998</v>
      </c>
      <c r="H8" s="3">
        <f>[1]!s_fa_roe($A8,H$1)</f>
        <v>4.1711999999999998</v>
      </c>
      <c r="I8" s="3">
        <f>[1]!s_fa_roe($A8,I$1)</f>
        <v>1.4234</v>
      </c>
      <c r="J8" s="3">
        <f>[1]!s_fa_roe($A8,J$1)</f>
        <v>9.7802000000000007</v>
      </c>
      <c r="K8" s="3">
        <f>[1]!s_fa_roe($A8,K$1)</f>
        <v>7.4813000000000001</v>
      </c>
      <c r="L8" s="3">
        <f>[1]!s_fa_roe($A8,L$1)</f>
        <v>5.0372000000000003</v>
      </c>
      <c r="M8" s="3">
        <f>[1]!s_fa_roe($A8,M$1)</f>
        <v>2.1924999999999999</v>
      </c>
      <c r="N8" s="3">
        <f>[1]!s_fa_roe($A8,N$1)</f>
        <v>10.5595</v>
      </c>
      <c r="O8" s="3">
        <f>[1]!s_fa_roe($A8,O$1)</f>
        <v>7.7434000000000003</v>
      </c>
      <c r="P8" s="3">
        <f>[1]!s_fa_roe($A8,P$1)</f>
        <v>5.4081000000000001</v>
      </c>
      <c r="Q8" s="3">
        <f>[1]!s_fa_roe($A8,Q$1)</f>
        <v>2.1621000000000001</v>
      </c>
      <c r="R8" s="3">
        <f>[1]!s_fa_roe($A8,R$1)</f>
        <v>11.428800000000001</v>
      </c>
      <c r="S8" s="3">
        <f>[1]!s_fa_roe($A8,S$1)</f>
        <v>7.9024999999999999</v>
      </c>
      <c r="T8" s="3">
        <f>[1]!s_fa_roe($A8,T$1)</f>
        <v>5.3228</v>
      </c>
      <c r="U8" s="3">
        <f>[1]!s_fa_roe($A8,U$1)</f>
        <v>2.1019000000000001</v>
      </c>
      <c r="V8" s="3">
        <f>[1]!s_fa_roe($A8,V$1)</f>
        <v>10.865600000000001</v>
      </c>
      <c r="W8" s="3">
        <f>[1]!s_fa_roe($A8,W$1)</f>
        <v>8.0257000000000005</v>
      </c>
      <c r="X8" s="3">
        <f>[1]!s_fa_roe($A8,X$1)</f>
        <v>5.2766999999999999</v>
      </c>
      <c r="Y8" s="3">
        <f>[1]!s_fa_roe($A8,Y$1)</f>
        <v>2.1518000000000002</v>
      </c>
    </row>
    <row r="9" spans="1:25">
      <c r="A9" s="1" t="s">
        <v>7</v>
      </c>
      <c r="B9" s="1" t="s">
        <v>50</v>
      </c>
      <c r="C9" s="3" t="str">
        <f ca="1">[1]!s_fa_roe($A9,C$1)</f>
        <v>#N/A</v>
      </c>
      <c r="D9" s="3">
        <f>[1]!s_fa_roe($A9,D$1)</f>
        <v>8.5928000000000004</v>
      </c>
      <c r="E9" s="3">
        <f>[1]!s_fa_roe($A9,E$1)</f>
        <v>2.8990999999999998</v>
      </c>
      <c r="F9" s="3">
        <f>[1]!s_fa_roe($A9,F$1)</f>
        <v>17.0412</v>
      </c>
      <c r="G9" s="3">
        <f>[1]!s_fa_roe($A9,G$1)</f>
        <v>12.815799999999999</v>
      </c>
      <c r="H9" s="3">
        <f>[1]!s_fa_roe($A9,H$1)</f>
        <v>7.6521999999999997</v>
      </c>
      <c r="I9" s="3">
        <f>[1]!s_fa_roe($A9,I$1)</f>
        <v>1.7298</v>
      </c>
      <c r="J9" s="3">
        <f>[1]!s_fa_roe($A9,J$1)</f>
        <v>16.576699999999999</v>
      </c>
      <c r="K9" s="3">
        <f>[1]!s_fa_roe($A9,K$1)</f>
        <v>13.472</v>
      </c>
      <c r="L9" s="3">
        <f>[1]!s_fa_roe($A9,L$1)</f>
        <v>8.3787000000000003</v>
      </c>
      <c r="M9" s="3">
        <f>[1]!s_fa_roe($A9,M$1)</f>
        <v>3.0369000000000002</v>
      </c>
      <c r="N9" s="3">
        <f>[1]!s_fa_roe($A9,N$1)</f>
        <v>18.455100000000002</v>
      </c>
      <c r="O9" s="3">
        <f>[1]!s_fa_roe($A9,O$1)</f>
        <v>14.2812</v>
      </c>
      <c r="P9" s="3">
        <f>[1]!s_fa_roe($A9,P$1)</f>
        <v>9.0683000000000007</v>
      </c>
      <c r="Q9" s="3">
        <f>[1]!s_fa_roe($A9,Q$1)</f>
        <v>2.9759000000000002</v>
      </c>
      <c r="R9" s="3">
        <f>[1]!s_fa_roe($A9,R$1)</f>
        <v>12.3659</v>
      </c>
      <c r="S9" s="3">
        <f>[1]!s_fa_roe($A9,S$1)</f>
        <v>8.3154000000000003</v>
      </c>
      <c r="T9" s="3">
        <f>[1]!s_fa_roe($A9,T$1)</f>
        <v>4.7218999999999998</v>
      </c>
      <c r="U9" s="3">
        <f>[1]!s_fa_roe($A9,U$1)</f>
        <v>1.1002000000000001</v>
      </c>
      <c r="V9" s="3">
        <f>[1]!s_fa_roe($A9,V$1)</f>
        <v>7.4602000000000004</v>
      </c>
      <c r="W9" s="3">
        <f>[1]!s_fa_roe($A9,W$1)</f>
        <v>5.1363000000000003</v>
      </c>
      <c r="X9" s="3">
        <f>[1]!s_fa_roe($A9,X$1)</f>
        <v>2.5638000000000001</v>
      </c>
      <c r="Y9" s="3">
        <f>[1]!s_fa_roe($A9,Y$1)</f>
        <v>0.27729999999999999</v>
      </c>
    </row>
    <row r="10" spans="1:25">
      <c r="A10" s="1" t="s">
        <v>8</v>
      </c>
      <c r="B10" s="1" t="s">
        <v>51</v>
      </c>
      <c r="C10" s="3" t="str">
        <f ca="1">[1]!s_fa_roe($A10,C$1)</f>
        <v>#N/A</v>
      </c>
      <c r="D10" s="3">
        <f>[1]!s_fa_roe($A10,D$1)</f>
        <v>6.2432999999999996</v>
      </c>
      <c r="E10" s="3">
        <f>[1]!s_fa_roe($A10,E$1)</f>
        <v>2.9754</v>
      </c>
      <c r="F10" s="3">
        <f>[1]!s_fa_roe($A10,F$1)</f>
        <v>9.7436000000000007</v>
      </c>
      <c r="G10" s="3">
        <f>[1]!s_fa_roe($A10,G$1)</f>
        <v>6.7164000000000001</v>
      </c>
      <c r="H10" s="3">
        <f>[1]!s_fa_roe($A10,H$1)</f>
        <v>3.6278999999999999</v>
      </c>
      <c r="I10" s="3">
        <f>[1]!s_fa_roe($A10,I$1)</f>
        <v>1.2444999999999999</v>
      </c>
      <c r="J10" s="3">
        <f>[1]!s_fa_roe($A10,J$1)</f>
        <v>9.4612999999999996</v>
      </c>
      <c r="K10" s="3">
        <f>[1]!s_fa_roe($A10,K$1)</f>
        <v>7.8540000000000001</v>
      </c>
      <c r="L10" s="3">
        <f>[1]!s_fa_roe($A10,L$1)</f>
        <v>4.7629999999999999</v>
      </c>
      <c r="M10" s="3">
        <f>[1]!s_fa_roe($A10,M$1)</f>
        <v>2.0104000000000002</v>
      </c>
      <c r="N10" s="3">
        <f>[1]!s_fa_roe($A10,N$1)</f>
        <v>10.3941</v>
      </c>
      <c r="O10" s="3">
        <f>[1]!s_fa_roe($A10,O$1)</f>
        <v>9.1652000000000005</v>
      </c>
      <c r="P10" s="3">
        <f>[1]!s_fa_roe($A10,P$1)</f>
        <v>5.9488000000000003</v>
      </c>
      <c r="Q10" s="3">
        <f>[1]!s_fa_roe($A10,Q$1)</f>
        <v>2.3246000000000002</v>
      </c>
      <c r="R10" s="3">
        <f>[1]!s_fa_roe($A10,R$1)</f>
        <v>11.733700000000001</v>
      </c>
      <c r="S10" s="3">
        <f>[1]!s_fa_roe($A10,S$1)</f>
        <v>8.9283999999999999</v>
      </c>
      <c r="T10" s="3">
        <f>[1]!s_fa_roe($A10,T$1)</f>
        <v>5.8022</v>
      </c>
      <c r="U10" s="3">
        <f>[1]!s_fa_roe($A10,U$1)</f>
        <v>2.6779999999999999</v>
      </c>
      <c r="V10" s="3">
        <f>[1]!s_fa_roe($A10,V$1)</f>
        <v>8.3498999999999999</v>
      </c>
      <c r="W10" s="3">
        <f>[1]!s_fa_roe($A10,W$1)</f>
        <v>5.8838999999999997</v>
      </c>
      <c r="X10" s="3">
        <f>[1]!s_fa_roe($A10,X$1)</f>
        <v>3.7940999999999998</v>
      </c>
      <c r="Y10" s="3">
        <f>[1]!s_fa_roe($A10,Y$1)</f>
        <v>1.8291999999999999</v>
      </c>
    </row>
    <row r="11" spans="1:25">
      <c r="A11" s="1" t="s">
        <v>9</v>
      </c>
      <c r="B11" s="1" t="s">
        <v>52</v>
      </c>
      <c r="C11" s="3" t="str">
        <f ca="1">[1]!s_fa_roe($A11,C$1)</f>
        <v>#N/A</v>
      </c>
      <c r="D11" s="3">
        <f>[1]!s_fa_roe($A11,D$1)</f>
        <v>5.4509999999999996</v>
      </c>
      <c r="E11" s="3">
        <f>[1]!s_fa_roe($A11,E$1)</f>
        <v>2.3410000000000002</v>
      </c>
      <c r="F11" s="3">
        <f>[1]!s_fa_roe($A11,F$1)</f>
        <v>8.0266000000000002</v>
      </c>
      <c r="G11" s="3">
        <f>[1]!s_fa_roe($A11,G$1)</f>
        <v>6.6535000000000002</v>
      </c>
      <c r="H11" s="3">
        <f>[1]!s_fa_roe($A11,H$1)</f>
        <v>4.1585999999999999</v>
      </c>
      <c r="I11" s="3">
        <f>[1]!s_fa_roe($A11,I$1)</f>
        <v>0.95420000000000005</v>
      </c>
      <c r="J11" s="3">
        <f>[1]!s_fa_roe($A11,J$1)</f>
        <v>5.468</v>
      </c>
      <c r="K11" s="3">
        <f>[1]!s_fa_roe($A11,K$1)</f>
        <v>5.2282999999999999</v>
      </c>
      <c r="L11" s="3">
        <f>[1]!s_fa_roe($A11,L$1)</f>
        <v>3.6722999999999999</v>
      </c>
      <c r="M11" s="3">
        <f>[1]!s_fa_roe($A11,M$1)</f>
        <v>1.5934999999999999</v>
      </c>
      <c r="N11" s="3">
        <f>[1]!s_fa_roe($A11,N$1)</f>
        <v>2.3995000000000002</v>
      </c>
      <c r="O11" s="3">
        <f>[1]!s_fa_roe($A11,O$1)</f>
        <v>4.4336000000000002</v>
      </c>
      <c r="P11" s="3">
        <f>[1]!s_fa_roe($A11,P$1)</f>
        <v>2.8233000000000001</v>
      </c>
      <c r="Q11" s="3">
        <f>[1]!s_fa_roe($A11,Q$1)</f>
        <v>1.2678</v>
      </c>
      <c r="R11" s="3">
        <f>[1]!s_fa_roe($A11,R$1)</f>
        <v>6.2252999999999998</v>
      </c>
      <c r="S11" s="3">
        <f>[1]!s_fa_roe($A11,S$1)</f>
        <v>4.673</v>
      </c>
      <c r="T11" s="3">
        <f>[1]!s_fa_roe($A11,T$1)</f>
        <v>2.9523000000000001</v>
      </c>
      <c r="U11" s="3">
        <f>[1]!s_fa_roe($A11,U$1)</f>
        <v>1.0648</v>
      </c>
      <c r="V11" s="3">
        <f>[1]!s_fa_roe($A11,V$1)</f>
        <v>3.5775999999999999</v>
      </c>
      <c r="W11" s="3">
        <f>[1]!s_fa_roe($A11,W$1)</f>
        <v>2.3264</v>
      </c>
      <c r="X11" s="3">
        <f>[1]!s_fa_roe($A11,X$1)</f>
        <v>1.5077</v>
      </c>
      <c r="Y11" s="3">
        <f>[1]!s_fa_roe($A11,Y$1)</f>
        <v>0.59309999999999996</v>
      </c>
    </row>
    <row r="12" spans="1:25">
      <c r="A12" s="1" t="s">
        <v>10</v>
      </c>
      <c r="B12" s="1" t="s">
        <v>53</v>
      </c>
      <c r="C12" s="3" t="str">
        <f ca="1">[1]!s_fa_roe($A12,C$1)</f>
        <v>#N/A</v>
      </c>
      <c r="D12" s="3">
        <f>[1]!s_fa_roe($A12,D$1)</f>
        <v>4.7561999999999998</v>
      </c>
      <c r="E12" s="3">
        <f>[1]!s_fa_roe($A12,E$1)</f>
        <v>2.3679999999999999</v>
      </c>
      <c r="F12" s="3">
        <f>[1]!s_fa_roe($A12,F$1)</f>
        <v>7.7499000000000002</v>
      </c>
      <c r="G12" s="3">
        <f>[1]!s_fa_roe($A12,G$1)</f>
        <v>6.6230000000000002</v>
      </c>
      <c r="H12" s="3">
        <f>[1]!s_fa_roe($A12,H$1)</f>
        <v>3.8203999999999998</v>
      </c>
      <c r="I12" s="3">
        <f>[1]!s_fa_roe($A12,I$1)</f>
        <v>1.0731999999999999</v>
      </c>
      <c r="J12" s="3">
        <f>[1]!s_fa_roe($A12,J$1)</f>
        <v>5.3917999999999999</v>
      </c>
      <c r="K12" s="3">
        <f>[1]!s_fa_roe($A12,K$1)</f>
        <v>5.2117000000000004</v>
      </c>
      <c r="L12" s="3">
        <f>[1]!s_fa_roe($A12,L$1)</f>
        <v>3.3972000000000002</v>
      </c>
      <c r="M12" s="3">
        <f>[1]!s_fa_roe($A12,M$1)</f>
        <v>1.1751</v>
      </c>
      <c r="N12" s="3">
        <f>[1]!s_fa_roe($A12,N$1)</f>
        <v>5.0831999999999997</v>
      </c>
      <c r="O12" s="3">
        <f>[1]!s_fa_roe($A12,O$1)</f>
        <v>4.9931999999999999</v>
      </c>
      <c r="P12" s="3">
        <f>[1]!s_fa_roe($A12,P$1)</f>
        <v>3.3408000000000002</v>
      </c>
      <c r="Q12" s="3">
        <f>[1]!s_fa_roe($A12,Q$1)</f>
        <v>1.0417000000000001</v>
      </c>
      <c r="R12" s="3">
        <f>[1]!s_fa_roe($A12,R$1)</f>
        <v>7.5826000000000002</v>
      </c>
      <c r="S12" s="3">
        <f>[1]!s_fa_roe($A12,S$1)</f>
        <v>5.5796000000000001</v>
      </c>
      <c r="T12" s="3">
        <f>[1]!s_fa_roe($A12,T$1)</f>
        <v>3.5091999999999999</v>
      </c>
      <c r="U12" s="3">
        <f>[1]!s_fa_roe($A12,U$1)</f>
        <v>1.0604</v>
      </c>
      <c r="V12" s="3">
        <f>[1]!s_fa_roe($A12,V$1)</f>
        <v>6.7234999999999996</v>
      </c>
      <c r="W12" s="3">
        <f>[1]!s_fa_roe($A12,W$1)</f>
        <v>5.2377000000000002</v>
      </c>
      <c r="X12" s="3">
        <f>[1]!s_fa_roe($A12,X$1)</f>
        <v>3.6747999999999998</v>
      </c>
      <c r="Y12" s="3">
        <f>[1]!s_fa_roe($A12,Y$1)</f>
        <v>1.4075</v>
      </c>
    </row>
    <row r="13" spans="1:25">
      <c r="A13" s="1" t="s">
        <v>11</v>
      </c>
      <c r="B13" s="1" t="s">
        <v>54</v>
      </c>
      <c r="C13" s="3" t="str">
        <f ca="1">[1]!s_fa_roe($A13,C$1)</f>
        <v>#N/A</v>
      </c>
      <c r="D13" s="3">
        <f>[1]!s_fa_roe($A13,D$1)</f>
        <v>3.1892999999999998</v>
      </c>
      <c r="E13" s="3">
        <f>[1]!s_fa_roe($A13,E$1)</f>
        <v>1.2930999999999999</v>
      </c>
      <c r="F13" s="3">
        <f>[1]!s_fa_roe($A13,F$1)</f>
        <v>5.9520999999999997</v>
      </c>
      <c r="G13" s="3">
        <f>[1]!s_fa_roe($A13,G$1)</f>
        <v>4.1417999999999999</v>
      </c>
      <c r="H13" s="3">
        <f>[1]!s_fa_roe($A13,H$1)</f>
        <v>2.9260999999999999</v>
      </c>
      <c r="I13" s="3">
        <f>[1]!s_fa_roe($A13,I$1)</f>
        <v>1.4839</v>
      </c>
      <c r="J13" s="3">
        <f>[1]!s_fa_roe($A13,J$1)</f>
        <v>3.4337</v>
      </c>
      <c r="K13" s="3">
        <f>[1]!s_fa_roe($A13,K$1)</f>
        <v>2.9601999999999999</v>
      </c>
      <c r="L13" s="3">
        <f>[1]!s_fa_roe($A13,L$1)</f>
        <v>2.3176000000000001</v>
      </c>
      <c r="M13" s="3">
        <f>[1]!s_fa_roe($A13,M$1)</f>
        <v>0.56930000000000003</v>
      </c>
      <c r="N13" s="3">
        <f>[1]!s_fa_roe($A13,N$1)</f>
        <v>4.2523</v>
      </c>
      <c r="O13" s="3">
        <f>[1]!s_fa_roe($A13,O$1)</f>
        <v>2.7475999999999998</v>
      </c>
      <c r="P13" s="3">
        <f>[1]!s_fa_roe($A13,P$1)</f>
        <v>1.7932999999999999</v>
      </c>
      <c r="Q13" s="3">
        <f>[1]!s_fa_roe($A13,Q$1)</f>
        <v>0.3987</v>
      </c>
      <c r="R13" s="3">
        <f>[1]!s_fa_roe($A13,R$1)</f>
        <v>3.7143000000000002</v>
      </c>
      <c r="S13" s="3">
        <f>[1]!s_fa_roe($A13,S$1)</f>
        <v>2.5548000000000002</v>
      </c>
      <c r="T13" s="3">
        <f>[1]!s_fa_roe($A13,T$1)</f>
        <v>1.7597</v>
      </c>
      <c r="U13" s="3">
        <f>[1]!s_fa_roe($A13,U$1)</f>
        <v>0.50219999999999998</v>
      </c>
      <c r="V13" s="3">
        <f>[1]!s_fa_roe($A13,V$1)</f>
        <v>4.3501000000000003</v>
      </c>
      <c r="W13" s="3">
        <f>[1]!s_fa_roe($A13,W$1)</f>
        <v>2.7631999999999999</v>
      </c>
      <c r="X13" s="3">
        <f>[1]!s_fa_roe($A13,X$1)</f>
        <v>1.8393999999999999</v>
      </c>
      <c r="Y13" s="3">
        <f>[1]!s_fa_roe($A13,Y$1)</f>
        <v>0.44090000000000001</v>
      </c>
    </row>
    <row r="14" spans="1:25">
      <c r="A14" s="1" t="s">
        <v>12</v>
      </c>
      <c r="B14" s="1" t="s">
        <v>55</v>
      </c>
      <c r="C14" s="3" t="str">
        <f ca="1">[1]!s_fa_roe($A14,C$1)</f>
        <v>#N/A</v>
      </c>
      <c r="D14" s="3">
        <f>[1]!s_fa_roe($A14,D$1)</f>
        <v>4.5582000000000003</v>
      </c>
      <c r="E14" s="3">
        <f>[1]!s_fa_roe($A14,E$1)</f>
        <v>2.3534000000000002</v>
      </c>
      <c r="F14" s="3">
        <f>[1]!s_fa_roe($A14,F$1)</f>
        <v>5.5871000000000004</v>
      </c>
      <c r="G14" s="3">
        <f>[1]!s_fa_roe($A14,G$1)</f>
        <v>5.0378999999999996</v>
      </c>
      <c r="H14" s="3">
        <f>[1]!s_fa_roe($A14,H$1)</f>
        <v>2.6265000000000001</v>
      </c>
      <c r="I14" s="3">
        <f>[1]!s_fa_roe($A14,I$1)</f>
        <v>0.32550000000000001</v>
      </c>
      <c r="J14" s="3">
        <f>[1]!s_fa_roe($A14,J$1)</f>
        <v>5.6532999999999998</v>
      </c>
      <c r="K14" s="3">
        <f>[1]!s_fa_roe($A14,K$1)</f>
        <v>5.492</v>
      </c>
      <c r="L14" s="3">
        <f>[1]!s_fa_roe($A14,L$1)</f>
        <v>3.8815</v>
      </c>
      <c r="M14" s="3">
        <f>[1]!s_fa_roe($A14,M$1)</f>
        <v>2.0767000000000002</v>
      </c>
      <c r="N14" s="3">
        <f>[1]!s_fa_roe($A14,N$1)</f>
        <v>8.8644999999999996</v>
      </c>
      <c r="O14" s="3">
        <f>[1]!s_fa_roe($A14,O$1)</f>
        <v>7.9859</v>
      </c>
      <c r="P14" s="3">
        <f>[1]!s_fa_roe($A14,P$1)</f>
        <v>5.8143000000000002</v>
      </c>
      <c r="Q14" s="3">
        <f>[1]!s_fa_roe($A14,Q$1)</f>
        <v>2.903</v>
      </c>
      <c r="R14" s="3">
        <f>[1]!s_fa_roe($A14,R$1)</f>
        <v>11.7254</v>
      </c>
      <c r="S14" s="3">
        <f>[1]!s_fa_roe($A14,S$1)</f>
        <v>8.7063000000000006</v>
      </c>
      <c r="T14" s="3">
        <f>[1]!s_fa_roe($A14,T$1)</f>
        <v>6.0183999999999997</v>
      </c>
      <c r="U14" s="3">
        <f>[1]!s_fa_roe($A14,U$1)</f>
        <v>3.1171000000000002</v>
      </c>
      <c r="V14" s="3">
        <f>[1]!s_fa_roe($A14,V$1)</f>
        <v>12.952299999999999</v>
      </c>
      <c r="W14" s="3">
        <f>[1]!s_fa_roe($A14,W$1)</f>
        <v>9.4634</v>
      </c>
      <c r="X14" s="3">
        <f>[1]!s_fa_roe($A14,X$1)</f>
        <v>6.5389999999999997</v>
      </c>
      <c r="Y14" s="3">
        <f>[1]!s_fa_roe($A14,Y$1)</f>
        <v>3.1379000000000001</v>
      </c>
    </row>
    <row r="15" spans="1:25">
      <c r="A15" s="1" t="s">
        <v>13</v>
      </c>
      <c r="B15" s="1" t="s">
        <v>56</v>
      </c>
      <c r="C15" s="3" t="str">
        <f ca="1">[1]!s_fa_roe($A15,C$1)</f>
        <v>#N/A</v>
      </c>
      <c r="D15" s="3">
        <f>[1]!s_fa_roe($A15,D$1)</f>
        <v>2.6442000000000001</v>
      </c>
      <c r="E15" s="3">
        <f>[1]!s_fa_roe($A15,E$1)</f>
        <v>1.6171</v>
      </c>
      <c r="F15" s="3">
        <f>[1]!s_fa_roe($A15,F$1)</f>
        <v>1.6715</v>
      </c>
      <c r="G15" s="3">
        <f>[1]!s_fa_roe($A15,G$1)</f>
        <v>3.1903999999999999</v>
      </c>
      <c r="H15" s="3">
        <f>[1]!s_fa_roe($A15,H$1)</f>
        <v>1.9278999999999999</v>
      </c>
      <c r="I15" s="3">
        <f>[1]!s_fa_roe($A15,I$1)</f>
        <v>0.53390000000000004</v>
      </c>
      <c r="J15" s="3">
        <f>[1]!s_fa_roe($A15,J$1)</f>
        <v>5.4401999999999999</v>
      </c>
      <c r="K15" s="3">
        <f>[1]!s_fa_roe($A15,K$1)</f>
        <v>6.4843999999999999</v>
      </c>
      <c r="L15" s="3">
        <f>[1]!s_fa_roe($A15,L$1)</f>
        <v>3.6985000000000001</v>
      </c>
      <c r="M15" s="3">
        <f>[1]!s_fa_roe($A15,M$1)</f>
        <v>1.9361999999999999</v>
      </c>
      <c r="N15" s="3">
        <f>[1]!s_fa_roe($A15,N$1)</f>
        <v>7.1791999999999998</v>
      </c>
      <c r="O15" s="3">
        <f>[1]!s_fa_roe($A15,O$1)</f>
        <v>6.7286000000000001</v>
      </c>
      <c r="P15" s="3">
        <f>[1]!s_fa_roe($A15,P$1)</f>
        <v>5.2081999999999997</v>
      </c>
      <c r="Q15" s="3">
        <f>[1]!s_fa_roe($A15,Q$1)</f>
        <v>2.1554000000000002</v>
      </c>
      <c r="R15" s="3">
        <f>[1]!s_fa_roe($A15,R$1)</f>
        <v>7.3593000000000002</v>
      </c>
      <c r="S15" s="3">
        <f>[1]!s_fa_roe($A15,S$1)</f>
        <v>5.1087999999999996</v>
      </c>
      <c r="T15" s="3">
        <f>[1]!s_fa_roe($A15,T$1)</f>
        <v>3.5781000000000001</v>
      </c>
      <c r="U15" s="3">
        <f>[1]!s_fa_roe($A15,U$1)</f>
        <v>1.9119999999999999</v>
      </c>
      <c r="V15" s="3">
        <f>[1]!s_fa_roe($A15,V$1)</f>
        <v>6.1212999999999997</v>
      </c>
      <c r="W15" s="3">
        <f>[1]!s_fa_roe($A15,W$1)</f>
        <v>4.4501999999999997</v>
      </c>
      <c r="X15" s="3">
        <f>[1]!s_fa_roe($A15,X$1)</f>
        <v>3.5491999999999999</v>
      </c>
      <c r="Y15" s="3">
        <f>[1]!s_fa_roe($A15,Y$1)</f>
        <v>1.8746</v>
      </c>
    </row>
    <row r="16" spans="1:25">
      <c r="A16" s="1" t="s">
        <v>14</v>
      </c>
      <c r="B16" s="1" t="s">
        <v>57</v>
      </c>
      <c r="C16" s="3" t="str">
        <f ca="1">[1]!s_fa_roe($A16,C$1)</f>
        <v>#N/A</v>
      </c>
      <c r="D16" s="3">
        <f>[1]!s_fa_roe($A16,D$1)</f>
        <v>4.3598999999999997</v>
      </c>
      <c r="E16" s="3">
        <f>[1]!s_fa_roe($A16,E$1)</f>
        <v>1.7448999999999999</v>
      </c>
      <c r="F16" s="3">
        <f>[1]!s_fa_roe($A16,F$1)</f>
        <v>1.7784</v>
      </c>
      <c r="G16" s="3">
        <f>[1]!s_fa_roe($A16,G$1)</f>
        <v>3.1334</v>
      </c>
      <c r="H16" s="3">
        <f>[1]!s_fa_roe($A16,H$1)</f>
        <v>-1.1109</v>
      </c>
      <c r="I16" s="3">
        <f>[1]!s_fa_roe($A16,I$1)</f>
        <v>-1.2725</v>
      </c>
      <c r="J16" s="3">
        <f>[1]!s_fa_roe($A16,J$1)</f>
        <v>9.6698000000000004</v>
      </c>
      <c r="K16" s="3">
        <f>[1]!s_fa_roe($A16,K$1)</f>
        <v>10.0619</v>
      </c>
      <c r="L16" s="3">
        <f>[1]!s_fa_roe($A16,L$1)</f>
        <v>6.6002999999999998</v>
      </c>
      <c r="M16" s="3">
        <f>[1]!s_fa_roe($A16,M$1)</f>
        <v>3.5788000000000002</v>
      </c>
      <c r="N16" s="3">
        <f>[1]!s_fa_roe($A16,N$1)</f>
        <v>11.010400000000001</v>
      </c>
      <c r="O16" s="3">
        <f>[1]!s_fa_roe($A16,O$1)</f>
        <v>9.9468999999999994</v>
      </c>
      <c r="P16" s="3">
        <f>[1]!s_fa_roe($A16,P$1)</f>
        <v>5.7954999999999997</v>
      </c>
      <c r="Q16" s="3">
        <f>[1]!s_fa_roe($A16,Q$1)</f>
        <v>2.3626999999999998</v>
      </c>
      <c r="R16" s="3">
        <f>[1]!s_fa_roe($A16,R$1)</f>
        <v>9.7460000000000004</v>
      </c>
      <c r="S16" s="3">
        <f>[1]!s_fa_roe($A16,S$1)</f>
        <v>7.5613999999999999</v>
      </c>
      <c r="T16" s="3">
        <f>[1]!s_fa_roe($A16,T$1)</f>
        <v>4.3388999999999998</v>
      </c>
      <c r="U16" s="3">
        <f>[1]!s_fa_roe($A16,U$1)</f>
        <v>1.7548999999999999</v>
      </c>
      <c r="V16" s="3">
        <f>[1]!s_fa_roe($A16,V$1)</f>
        <v>8.7630999999999997</v>
      </c>
      <c r="W16" s="3">
        <f>[1]!s_fa_roe($A16,W$1)</f>
        <v>7.6020000000000003</v>
      </c>
      <c r="X16" s="3">
        <f>[1]!s_fa_roe($A16,X$1)</f>
        <v>4.7716000000000003</v>
      </c>
      <c r="Y16" s="3">
        <f>[1]!s_fa_roe($A16,Y$1)</f>
        <v>2.4704999999999999</v>
      </c>
    </row>
    <row r="17" spans="1:25">
      <c r="A17" s="1" t="s">
        <v>15</v>
      </c>
      <c r="B17" s="1" t="s">
        <v>58</v>
      </c>
      <c r="C17" s="3" t="str">
        <f ca="1">[1]!s_fa_roe($A17,C$1)</f>
        <v>#N/A</v>
      </c>
      <c r="D17" s="3">
        <f>[1]!s_fa_roe($A17,D$1)</f>
        <v>8.5031999999999996</v>
      </c>
      <c r="E17" s="3">
        <f>[1]!s_fa_roe($A17,E$1)</f>
        <v>3.5251000000000001</v>
      </c>
      <c r="F17" s="3">
        <f>[1]!s_fa_roe($A17,F$1)</f>
        <v>16.751200000000001</v>
      </c>
      <c r="G17" s="3">
        <f>[1]!s_fa_roe($A17,G$1)</f>
        <v>12.578900000000001</v>
      </c>
      <c r="H17" s="3">
        <f>[1]!s_fa_roe($A17,H$1)</f>
        <v>7.0849000000000002</v>
      </c>
      <c r="I17" s="3">
        <f>[1]!s_fa_roe($A17,I$1)</f>
        <v>1.9326000000000001</v>
      </c>
      <c r="J17" s="3">
        <f>[1]!s_fa_roe($A17,J$1)</f>
        <v>17.108000000000001</v>
      </c>
      <c r="K17" s="3">
        <f>[1]!s_fa_roe($A17,K$1)</f>
        <v>15.6158</v>
      </c>
      <c r="L17" s="3">
        <f>[1]!s_fa_roe($A17,L$1)</f>
        <v>10.6784</v>
      </c>
      <c r="M17" s="3">
        <f>[1]!s_fa_roe($A17,M$1)</f>
        <v>4.3428000000000004</v>
      </c>
      <c r="N17" s="3">
        <f>[1]!s_fa_roe($A17,N$1)</f>
        <v>14.960900000000001</v>
      </c>
      <c r="O17" s="3">
        <f>[1]!s_fa_roe($A17,O$1)</f>
        <v>14.799300000000001</v>
      </c>
      <c r="P17" s="3">
        <f>[1]!s_fa_roe($A17,P$1)</f>
        <v>10.3605</v>
      </c>
      <c r="Q17" s="3">
        <f>[1]!s_fa_roe($A17,Q$1)</f>
        <v>4.0987999999999998</v>
      </c>
      <c r="R17" s="3">
        <f>[1]!s_fa_roe($A17,R$1)</f>
        <v>18.634799999999998</v>
      </c>
      <c r="S17" s="3">
        <f>[1]!s_fa_roe($A17,S$1)</f>
        <v>14.7562</v>
      </c>
      <c r="T17" s="3">
        <f>[1]!s_fa_roe($A17,T$1)</f>
        <v>9.9822000000000006</v>
      </c>
      <c r="U17" s="3">
        <f>[1]!s_fa_roe($A17,U$1)</f>
        <v>4.1966000000000001</v>
      </c>
      <c r="V17" s="3">
        <f>[1]!s_fa_roe($A17,V$1)</f>
        <v>17.761500000000002</v>
      </c>
      <c r="W17" s="3">
        <f>[1]!s_fa_roe($A17,W$1)</f>
        <v>14.064</v>
      </c>
      <c r="X17" s="3">
        <f>[1]!s_fa_roe($A17,X$1)</f>
        <v>9.6491000000000007</v>
      </c>
      <c r="Y17" s="3">
        <f>[1]!s_fa_roe($A17,Y$1)</f>
        <v>4.4574999999999996</v>
      </c>
    </row>
    <row r="18" spans="1:25">
      <c r="A18" s="1" t="s">
        <v>16</v>
      </c>
      <c r="B18" s="1" t="s">
        <v>59</v>
      </c>
      <c r="C18" s="3" t="str">
        <f ca="1">[1]!s_fa_roe($A18,C$1)</f>
        <v>#N/A</v>
      </c>
      <c r="D18" s="3">
        <f>[1]!s_fa_roe($A18,D$1)</f>
        <v>4.3467000000000002</v>
      </c>
      <c r="E18" s="3">
        <f>[1]!s_fa_roe($A18,E$1)</f>
        <v>2.1526000000000001</v>
      </c>
      <c r="F18" s="3">
        <f>[1]!s_fa_roe($A18,F$1)</f>
        <v>4.7697000000000003</v>
      </c>
      <c r="G18" s="3">
        <f>[1]!s_fa_roe($A18,G$1)</f>
        <v>4.8372999999999999</v>
      </c>
      <c r="H18" s="3">
        <f>[1]!s_fa_roe($A18,H$1)</f>
        <v>2.8435999999999999</v>
      </c>
      <c r="I18" s="3">
        <f>[1]!s_fa_roe($A18,I$1)</f>
        <v>0.84340000000000004</v>
      </c>
      <c r="J18" s="3">
        <f>[1]!s_fa_roe($A18,J$1)</f>
        <v>5.5660999999999996</v>
      </c>
      <c r="K18" s="3">
        <f>[1]!s_fa_roe($A18,K$1)</f>
        <v>5.6524999999999999</v>
      </c>
      <c r="L18" s="3">
        <f>[1]!s_fa_roe($A18,L$1)</f>
        <v>4.1435000000000004</v>
      </c>
      <c r="M18" s="3">
        <f>[1]!s_fa_roe($A18,M$1)</f>
        <v>2.5710000000000002</v>
      </c>
      <c r="N18" s="3">
        <f>[1]!s_fa_roe($A18,N$1)</f>
        <v>5.6265000000000001</v>
      </c>
      <c r="O18" s="3">
        <f>[1]!s_fa_roe($A18,O$1)</f>
        <v>6.7881</v>
      </c>
      <c r="P18" s="3">
        <f>[1]!s_fa_roe($A18,P$1)</f>
        <v>4.7363</v>
      </c>
      <c r="Q18" s="3">
        <f>[1]!s_fa_roe($A18,Q$1)</f>
        <v>2.3142</v>
      </c>
      <c r="R18" s="3">
        <f>[1]!s_fa_roe($A18,R$1)</f>
        <v>8.4491999999999994</v>
      </c>
      <c r="S18" s="3">
        <f>[1]!s_fa_roe($A18,S$1)</f>
        <v>7.3291000000000004</v>
      </c>
      <c r="T18" s="3">
        <f>[1]!s_fa_roe($A18,T$1)</f>
        <v>5.2469999999999999</v>
      </c>
      <c r="U18" s="3">
        <f>[1]!s_fa_roe($A18,U$1)</f>
        <v>2.6173000000000002</v>
      </c>
      <c r="V18" s="3">
        <f>[1]!s_fa_roe($A18,V$1)</f>
        <v>9.4916999999999998</v>
      </c>
      <c r="W18" s="3">
        <f>[1]!s_fa_roe($A18,W$1)</f>
        <v>7.2961999999999998</v>
      </c>
      <c r="X18" s="3">
        <f>[1]!s_fa_roe($A18,X$1)</f>
        <v>5.4531999999999998</v>
      </c>
      <c r="Y18" s="3">
        <f>[1]!s_fa_roe($A18,Y$1)</f>
        <v>3.1714000000000002</v>
      </c>
    </row>
    <row r="19" spans="1:25">
      <c r="A19" s="1" t="s">
        <v>17</v>
      </c>
      <c r="B19" s="1" t="s">
        <v>60</v>
      </c>
      <c r="C19" s="3" t="str">
        <f ca="1">[1]!s_fa_roe($A19,C$1)</f>
        <v>#N/A</v>
      </c>
      <c r="D19" s="3">
        <f>[1]!s_fa_roe($A19,D$1)</f>
        <v>7.9114000000000004</v>
      </c>
      <c r="E19" s="3">
        <f>[1]!s_fa_roe($A19,E$1)</f>
        <v>3.7145999999999999</v>
      </c>
      <c r="F19" s="3">
        <f>[1]!s_fa_roe($A19,F$1)</f>
        <v>9.6372999999999998</v>
      </c>
      <c r="G19" s="3">
        <f>[1]!s_fa_roe($A19,G$1)</f>
        <v>9.9276999999999997</v>
      </c>
      <c r="H19" s="3">
        <f>[1]!s_fa_roe($A19,H$1)</f>
        <v>6.3879000000000001</v>
      </c>
      <c r="I19" s="3">
        <f>[1]!s_fa_roe($A19,I$1)</f>
        <v>2.423</v>
      </c>
      <c r="J19" s="3">
        <f>[1]!s_fa_roe($A19,J$1)</f>
        <v>8.2149000000000001</v>
      </c>
      <c r="K19" s="3">
        <f>[1]!s_fa_roe($A19,K$1)</f>
        <v>9.0023</v>
      </c>
      <c r="L19" s="3">
        <f>[1]!s_fa_roe($A19,L$1)</f>
        <v>6.3205999999999998</v>
      </c>
      <c r="M19" s="3">
        <f>[1]!s_fa_roe($A19,M$1)</f>
        <v>3.1490999999999998</v>
      </c>
      <c r="N19" s="3">
        <f>[1]!s_fa_roe($A19,N$1)</f>
        <v>10.3919</v>
      </c>
      <c r="O19" s="3">
        <f>[1]!s_fa_roe($A19,O$1)</f>
        <v>9.3696999999999999</v>
      </c>
      <c r="P19" s="3">
        <f>[1]!s_fa_roe($A19,P$1)</f>
        <v>6.5559000000000003</v>
      </c>
      <c r="Q19" s="3">
        <f>[1]!s_fa_roe($A19,Q$1)</f>
        <v>3.1055000000000001</v>
      </c>
      <c r="R19" s="3">
        <f>[1]!s_fa_roe($A19,R$1)</f>
        <v>11.997400000000001</v>
      </c>
      <c r="S19" s="3">
        <f>[1]!s_fa_roe($A19,S$1)</f>
        <v>9.4086999999999996</v>
      </c>
      <c r="T19" s="3">
        <f>[1]!s_fa_roe($A19,T$1)</f>
        <v>5.9555999999999996</v>
      </c>
      <c r="U19" s="3">
        <f>[1]!s_fa_roe($A19,U$1)</f>
        <v>2.7050999999999998</v>
      </c>
      <c r="V19" s="3">
        <f>[1]!s_fa_roe($A19,V$1)</f>
        <v>11.2758</v>
      </c>
      <c r="W19" s="3">
        <f>[1]!s_fa_roe($A19,W$1)</f>
        <v>8.7438000000000002</v>
      </c>
      <c r="X19" s="3">
        <f>[1]!s_fa_roe($A19,X$1)</f>
        <v>6.0720000000000001</v>
      </c>
      <c r="Y19" s="3">
        <f>[1]!s_fa_roe($A19,Y$1)</f>
        <v>2.9615999999999998</v>
      </c>
    </row>
    <row r="20" spans="1:25">
      <c r="A20" s="1" t="s">
        <v>18</v>
      </c>
      <c r="B20" s="1" t="s">
        <v>61</v>
      </c>
      <c r="C20" s="3" t="str">
        <f ca="1">[1]!s_fa_roe($A20,C$1)</f>
        <v>#N/A</v>
      </c>
      <c r="D20" s="3">
        <f>[1]!s_fa_roe($A20,D$1)</f>
        <v>11.7943</v>
      </c>
      <c r="E20" s="3">
        <f>[1]!s_fa_roe($A20,E$1)</f>
        <v>6.8893000000000004</v>
      </c>
      <c r="F20" s="3">
        <f>[1]!s_fa_roe($A20,F$1)</f>
        <v>21.154599999999999</v>
      </c>
      <c r="G20" s="3">
        <f>[1]!s_fa_roe($A20,G$1)</f>
        <v>17.018699999999999</v>
      </c>
      <c r="H20" s="3">
        <f>[1]!s_fa_roe($A20,H$1)</f>
        <v>11.853400000000001</v>
      </c>
      <c r="I20" s="3">
        <f>[1]!s_fa_roe($A20,I$1)</f>
        <v>6.29</v>
      </c>
      <c r="J20" s="3">
        <f>[1]!s_fa_roe($A20,J$1)</f>
        <v>20.5473</v>
      </c>
      <c r="K20" s="3">
        <f>[1]!s_fa_roe($A20,K$1)</f>
        <v>16.313199999999998</v>
      </c>
      <c r="L20" s="3">
        <f>[1]!s_fa_roe($A20,L$1)</f>
        <v>11.561299999999999</v>
      </c>
      <c r="M20" s="3">
        <f>[1]!s_fa_roe($A20,M$1)</f>
        <v>6.7526999999999999</v>
      </c>
      <c r="N20" s="3">
        <f>[1]!s_fa_roe($A20,N$1)</f>
        <v>19.538</v>
      </c>
      <c r="O20" s="3">
        <f>[1]!s_fa_roe($A20,O$1)</f>
        <v>15.340199999999999</v>
      </c>
      <c r="P20" s="3">
        <f>[1]!s_fa_roe($A20,P$1)</f>
        <v>10.763</v>
      </c>
      <c r="Q20" s="3">
        <f>[1]!s_fa_roe($A20,Q$1)</f>
        <v>6.2686000000000002</v>
      </c>
      <c r="R20" s="3">
        <f>[1]!s_fa_roe($A20,R$1)</f>
        <v>17.921600000000002</v>
      </c>
      <c r="S20" s="3">
        <f>[1]!s_fa_roe($A20,S$1)</f>
        <v>14.437200000000001</v>
      </c>
      <c r="T20" s="3">
        <f>[1]!s_fa_roe($A20,T$1)</f>
        <v>9.6067</v>
      </c>
      <c r="U20" s="3">
        <f>[1]!s_fa_roe($A20,U$1)</f>
        <v>5.5662000000000003</v>
      </c>
      <c r="V20" s="3">
        <f>[1]!s_fa_roe($A20,V$1)</f>
        <v>15.168699999999999</v>
      </c>
      <c r="W20" s="3">
        <f>[1]!s_fa_roe($A20,W$1)</f>
        <v>12.1493</v>
      </c>
      <c r="X20" s="3">
        <f>[1]!s_fa_roe($A20,X$1)</f>
        <v>8.6951000000000001</v>
      </c>
      <c r="Y20" s="3">
        <f>[1]!s_fa_roe($A20,Y$1)</f>
        <v>5.6010999999999997</v>
      </c>
    </row>
    <row r="21" spans="1:25">
      <c r="A21" s="1" t="s">
        <v>19</v>
      </c>
      <c r="B21" s="1" t="s">
        <v>62</v>
      </c>
      <c r="C21" s="3" t="str">
        <f ca="1">[1]!s_fa_roe($A21,C$1)</f>
        <v>#N/A</v>
      </c>
      <c r="D21" s="3">
        <f>[1]!s_fa_roe($A21,D$1)</f>
        <v>2.6597</v>
      </c>
      <c r="E21" s="3">
        <f>[1]!s_fa_roe($A21,E$1)</f>
        <v>3.1353</v>
      </c>
      <c r="F21" s="3">
        <f>[1]!s_fa_roe($A21,F$1)</f>
        <v>18.594999999999999</v>
      </c>
      <c r="G21" s="3">
        <f>[1]!s_fa_roe($A21,G$1)</f>
        <v>17.154499999999999</v>
      </c>
      <c r="H21" s="3">
        <f>[1]!s_fa_roe($A21,H$1)</f>
        <v>9.9650999999999996</v>
      </c>
      <c r="I21" s="3">
        <f>[1]!s_fa_roe($A21,I$1)</f>
        <v>4.1878000000000002</v>
      </c>
      <c r="J21" s="3">
        <f>[1]!s_fa_roe($A21,J$1)</f>
        <v>14.78</v>
      </c>
      <c r="K21" s="3">
        <f>[1]!s_fa_roe($A21,K$1)</f>
        <v>8.5641999999999996</v>
      </c>
      <c r="L21" s="3">
        <f>[1]!s_fa_roe($A21,L$1)</f>
        <v>3.1234000000000002</v>
      </c>
      <c r="M21" s="3">
        <f>[1]!s_fa_roe($A21,M$1)</f>
        <v>0.53910000000000002</v>
      </c>
      <c r="N21" s="3">
        <f>[1]!s_fa_roe($A21,N$1)</f>
        <v>2.8936000000000002</v>
      </c>
      <c r="O21" s="3">
        <f>[1]!s_fa_roe($A21,O$1)</f>
        <v>5.6021999999999998</v>
      </c>
      <c r="P21" s="3">
        <f>[1]!s_fa_roe($A21,P$1)</f>
        <v>2.4007000000000001</v>
      </c>
      <c r="Q21" s="3">
        <f>[1]!s_fa_roe($A21,Q$1)</f>
        <v>2.0672999999999999</v>
      </c>
      <c r="R21" s="3">
        <f>[1]!s_fa_roe($A21,R$1)</f>
        <v>7.1437999999999997</v>
      </c>
      <c r="S21" s="3">
        <f>[1]!s_fa_roe($A21,S$1)</f>
        <v>7.3784999999999998</v>
      </c>
      <c r="T21" s="3">
        <f>[1]!s_fa_roe($A21,T$1)</f>
        <v>4.3173000000000004</v>
      </c>
      <c r="U21" s="3">
        <f>[1]!s_fa_roe($A21,U$1)</f>
        <v>2.3184</v>
      </c>
      <c r="V21" s="3">
        <f>[1]!s_fa_roe($A21,V$1)</f>
        <v>13.640499999999999</v>
      </c>
      <c r="W21" s="3">
        <f>[1]!s_fa_roe($A21,W$1)</f>
        <v>11.399900000000001</v>
      </c>
      <c r="X21" s="3">
        <f>[1]!s_fa_roe($A21,X$1)</f>
        <v>7.2572000000000001</v>
      </c>
      <c r="Y21" s="3">
        <f>[1]!s_fa_roe($A21,Y$1)</f>
        <v>1.5285</v>
      </c>
    </row>
    <row r="22" spans="1:25">
      <c r="A22" s="1" t="s">
        <v>20</v>
      </c>
      <c r="B22" s="1" t="s">
        <v>63</v>
      </c>
      <c r="C22" s="3" t="str">
        <f ca="1">[1]!s_fa_roe($A22,C$1)</f>
        <v>#N/A</v>
      </c>
      <c r="D22" s="3">
        <f>[1]!s_fa_roe($A22,D$1)</f>
        <v>5.6692999999999998</v>
      </c>
      <c r="E22" s="3">
        <f>[1]!s_fa_roe($A22,E$1)</f>
        <v>3.0200999999999998</v>
      </c>
      <c r="F22" s="3">
        <f>[1]!s_fa_roe($A22,F$1)</f>
        <v>10.612399999999999</v>
      </c>
      <c r="G22" s="3">
        <f>[1]!s_fa_roe($A22,G$1)</f>
        <v>8.2241999999999997</v>
      </c>
      <c r="H22" s="3">
        <f>[1]!s_fa_roe($A22,H$1)</f>
        <v>5.5579000000000001</v>
      </c>
      <c r="I22" s="3">
        <f>[1]!s_fa_roe($A22,I$1)</f>
        <v>3.1696</v>
      </c>
      <c r="J22" s="3">
        <f>[1]!s_fa_roe($A22,J$1)</f>
        <v>11.9123</v>
      </c>
      <c r="K22" s="3">
        <f>[1]!s_fa_roe($A22,K$1)</f>
        <v>9.9924999999999997</v>
      </c>
      <c r="L22" s="3">
        <f>[1]!s_fa_roe($A22,L$1)</f>
        <v>7.0179</v>
      </c>
      <c r="M22" s="3">
        <f>[1]!s_fa_roe($A22,M$1)</f>
        <v>3.4698000000000002</v>
      </c>
      <c r="N22" s="3">
        <f>[1]!s_fa_roe($A22,N$1)</f>
        <v>12.6944</v>
      </c>
      <c r="O22" s="3">
        <f>[1]!s_fa_roe($A22,O$1)</f>
        <v>10.6183</v>
      </c>
      <c r="P22" s="3">
        <f>[1]!s_fa_roe($A22,P$1)</f>
        <v>7.3731999999999998</v>
      </c>
      <c r="Q22" s="3">
        <f>[1]!s_fa_roe($A22,Q$1)</f>
        <v>3.6579000000000002</v>
      </c>
      <c r="R22" s="3">
        <f>[1]!s_fa_roe($A22,R$1)</f>
        <v>13.3218</v>
      </c>
      <c r="S22" s="3">
        <f>[1]!s_fa_roe($A22,S$1)</f>
        <v>11.0382</v>
      </c>
      <c r="T22" s="3">
        <f>[1]!s_fa_roe($A22,T$1)</f>
        <v>7.6817000000000002</v>
      </c>
      <c r="U22" s="3">
        <f>[1]!s_fa_roe($A22,U$1)</f>
        <v>3.8075999999999999</v>
      </c>
      <c r="V22" s="3">
        <f>[1]!s_fa_roe($A22,V$1)</f>
        <v>14.176600000000001</v>
      </c>
      <c r="W22" s="3">
        <f>[1]!s_fa_roe($A22,W$1)</f>
        <v>11.6914</v>
      </c>
      <c r="X22" s="3">
        <f>[1]!s_fa_roe($A22,X$1)</f>
        <v>8.1755999999999993</v>
      </c>
      <c r="Y22" s="3">
        <f>[1]!s_fa_roe($A22,Y$1)</f>
        <v>4.1401000000000003</v>
      </c>
    </row>
    <row r="23" spans="1:25">
      <c r="A23" s="1" t="s">
        <v>21</v>
      </c>
      <c r="B23" s="1" t="s">
        <v>64</v>
      </c>
      <c r="C23" s="3" t="str">
        <f ca="1">[1]!s_fa_roe($A23,C$1)</f>
        <v>#N/A</v>
      </c>
      <c r="D23" s="3">
        <f>[1]!s_fa_roe($A23,D$1)</f>
        <v>6.2244000000000002</v>
      </c>
      <c r="E23" s="3">
        <f>[1]!s_fa_roe($A23,E$1)</f>
        <v>3.1640000000000001</v>
      </c>
      <c r="F23" s="3">
        <f>[1]!s_fa_roe($A23,F$1)</f>
        <v>10.7058</v>
      </c>
      <c r="G23" s="3">
        <f>[1]!s_fa_roe($A23,G$1)</f>
        <v>8.9762000000000004</v>
      </c>
      <c r="H23" s="3">
        <f>[1]!s_fa_roe($A23,H$1)</f>
        <v>5.4522000000000004</v>
      </c>
      <c r="I23" s="3">
        <f>[1]!s_fa_roe($A23,I$1)</f>
        <v>2.9392</v>
      </c>
      <c r="J23" s="3">
        <f>[1]!s_fa_roe($A23,J$1)</f>
        <v>12.149800000000001</v>
      </c>
      <c r="K23" s="3">
        <f>[1]!s_fa_roe($A23,K$1)</f>
        <v>10.7516</v>
      </c>
      <c r="L23" s="3">
        <f>[1]!s_fa_roe($A23,L$1)</f>
        <v>7.8954000000000004</v>
      </c>
      <c r="M23" s="3">
        <f>[1]!s_fa_roe($A23,M$1)</f>
        <v>4.3399000000000001</v>
      </c>
      <c r="N23" s="3">
        <f>[1]!s_fa_roe($A23,N$1)</f>
        <v>8.0962999999999994</v>
      </c>
      <c r="O23" s="3">
        <f>[1]!s_fa_roe($A23,O$1)</f>
        <v>6.7595999999999998</v>
      </c>
      <c r="P23" s="3">
        <f>[1]!s_fa_roe($A23,P$1)</f>
        <v>5.0671999999999997</v>
      </c>
      <c r="Q23" s="3">
        <f>[1]!s_fa_roe($A23,Q$1)</f>
        <v>2.7326000000000001</v>
      </c>
      <c r="R23" s="3">
        <f>[1]!s_fa_roe($A23,R$1)</f>
        <v>10.824299999999999</v>
      </c>
      <c r="S23" s="3">
        <f>[1]!s_fa_roe($A23,S$1)</f>
        <v>8.3664000000000005</v>
      </c>
      <c r="T23" s="3">
        <f>[1]!s_fa_roe($A23,T$1)</f>
        <v>5.2519999999999998</v>
      </c>
      <c r="U23" s="3">
        <f>[1]!s_fa_roe($A23,U$1)</f>
        <v>2.6911999999999998</v>
      </c>
      <c r="V23" s="3">
        <f>[1]!s_fa_roe($A23,V$1)</f>
        <v>9.7667999999999999</v>
      </c>
      <c r="W23" s="3">
        <f>[1]!s_fa_roe($A23,W$1)</f>
        <v>8.0623000000000005</v>
      </c>
      <c r="X23" s="3">
        <f>[1]!s_fa_roe($A23,X$1)</f>
        <v>5.6131000000000002</v>
      </c>
      <c r="Y23" s="3">
        <f>[1]!s_fa_roe($A23,Y$1)</f>
        <v>2.6072000000000002</v>
      </c>
    </row>
    <row r="24" spans="1:25">
      <c r="A24" s="1" t="s">
        <v>22</v>
      </c>
      <c r="B24" s="1" t="s">
        <v>65</v>
      </c>
      <c r="C24" s="3" t="str">
        <f ca="1">[1]!s_fa_roe($A24,C$1)</f>
        <v>#N/A</v>
      </c>
      <c r="D24" s="3">
        <f>[1]!s_fa_roe($A24,D$1)</f>
        <v>3.5236999999999998</v>
      </c>
      <c r="E24" s="3">
        <f>[1]!s_fa_roe($A24,E$1)</f>
        <v>1.0384</v>
      </c>
      <c r="F24" s="3">
        <f>[1]!s_fa_roe($A24,F$1)</f>
        <v>10.900499999999999</v>
      </c>
      <c r="G24" s="3">
        <f>[1]!s_fa_roe($A24,G$1)</f>
        <v>6.8071999999999999</v>
      </c>
      <c r="H24" s="3">
        <f>[1]!s_fa_roe($A24,H$1)</f>
        <v>4.6702000000000004</v>
      </c>
      <c r="I24" s="3">
        <f>[1]!s_fa_roe($A24,I$1)</f>
        <v>1.2225999999999999</v>
      </c>
      <c r="J24" s="3">
        <f>[1]!s_fa_roe($A24,J$1)</f>
        <v>13.4734</v>
      </c>
      <c r="K24" s="3">
        <f>[1]!s_fa_roe($A24,K$1)</f>
        <v>8.5823999999999998</v>
      </c>
      <c r="L24" s="3">
        <f>[1]!s_fa_roe($A24,L$1)</f>
        <v>6.2648000000000001</v>
      </c>
      <c r="M24" s="3">
        <f>[1]!s_fa_roe($A24,M$1)</f>
        <v>2.4990000000000001</v>
      </c>
      <c r="N24" s="3">
        <f>[1]!s_fa_roe($A24,N$1)</f>
        <v>13.518800000000001</v>
      </c>
      <c r="O24" s="3">
        <f>[1]!s_fa_roe($A24,O$1)</f>
        <v>8.3985000000000003</v>
      </c>
      <c r="P24" s="3">
        <f>[1]!s_fa_roe($A24,P$1)</f>
        <v>6.1124999999999998</v>
      </c>
      <c r="Q24" s="3">
        <f>[1]!s_fa_roe($A24,Q$1)</f>
        <v>2.3714</v>
      </c>
      <c r="R24" s="3">
        <f>[1]!s_fa_roe($A24,R$1)</f>
        <v>13.758800000000001</v>
      </c>
      <c r="S24" s="3">
        <f>[1]!s_fa_roe($A24,S$1)</f>
        <v>7.2504999999999997</v>
      </c>
      <c r="T24" s="3">
        <f>[1]!s_fa_roe($A24,T$1)</f>
        <v>5.0119999999999996</v>
      </c>
      <c r="U24" s="3">
        <f>[1]!s_fa_roe($A24,U$1)</f>
        <v>1.9674</v>
      </c>
      <c r="V24" s="3">
        <f>[1]!s_fa_roe($A24,V$1)</f>
        <v>12.804399999999999</v>
      </c>
      <c r="W24" s="3">
        <f>[1]!s_fa_roe($A24,W$1)</f>
        <v>6.8087999999999997</v>
      </c>
      <c r="X24" s="3">
        <f>[1]!s_fa_roe($A24,X$1)</f>
        <v>4.8327</v>
      </c>
      <c r="Y24" s="3">
        <f>[1]!s_fa_roe($A24,Y$1)</f>
        <v>1.6765000000000001</v>
      </c>
    </row>
    <row r="25" spans="1:25">
      <c r="A25" s="1" t="s">
        <v>23</v>
      </c>
      <c r="B25" s="1" t="s">
        <v>66</v>
      </c>
      <c r="C25" s="3" t="str">
        <f ca="1">[1]!s_fa_roe($A25,C$1)</f>
        <v>#N/A</v>
      </c>
      <c r="D25" s="3">
        <f>[1]!s_fa_roe($A25,D$1)</f>
        <v>4.8057999999999996</v>
      </c>
      <c r="E25" s="3">
        <f>[1]!s_fa_roe($A25,E$1)</f>
        <v>1.3102</v>
      </c>
      <c r="F25" s="3">
        <f>[1]!s_fa_roe($A25,F$1)</f>
        <v>0.43769999999999998</v>
      </c>
      <c r="G25" s="3">
        <f>[1]!s_fa_roe($A25,G$1)</f>
        <v>1.651</v>
      </c>
      <c r="H25" s="3">
        <f>[1]!s_fa_roe($A25,H$1)</f>
        <v>5.0000000000000001E-4</v>
      </c>
      <c r="I25" s="3">
        <f>[1]!s_fa_roe($A25,I$1)</f>
        <v>-0.6179</v>
      </c>
      <c r="J25" s="3">
        <f>[1]!s_fa_roe($A25,J$1)</f>
        <v>7.8677999999999999</v>
      </c>
      <c r="K25" s="3">
        <f>[1]!s_fa_roe($A25,K$1)</f>
        <v>7.2953000000000001</v>
      </c>
      <c r="L25" s="3">
        <f>[1]!s_fa_roe($A25,L$1)</f>
        <v>4.8829000000000002</v>
      </c>
      <c r="M25" s="3">
        <f>[1]!s_fa_roe($A25,M$1)</f>
        <v>2.6728000000000001</v>
      </c>
      <c r="N25" s="3">
        <f>[1]!s_fa_roe($A25,N$1)</f>
        <v>8.0062999999999995</v>
      </c>
      <c r="O25" s="3">
        <f>[1]!s_fa_roe($A25,O$1)</f>
        <v>7.2298</v>
      </c>
      <c r="P25" s="3">
        <f>[1]!s_fa_roe($A25,P$1)</f>
        <v>4.6435000000000004</v>
      </c>
      <c r="Q25" s="3">
        <f>[1]!s_fa_roe($A25,Q$1)</f>
        <v>2.5482999999999998</v>
      </c>
      <c r="R25" s="3">
        <f>[1]!s_fa_roe($A25,R$1)</f>
        <v>10.501099999999999</v>
      </c>
      <c r="S25" s="3">
        <f>[1]!s_fa_roe($A25,S$1)</f>
        <v>8.7624999999999993</v>
      </c>
      <c r="T25" s="3">
        <f>[1]!s_fa_roe($A25,T$1)</f>
        <v>5.2049000000000003</v>
      </c>
      <c r="U25" s="3">
        <f>[1]!s_fa_roe($A25,U$1)</f>
        <v>2.4419</v>
      </c>
      <c r="V25" s="3">
        <f>[1]!s_fa_roe($A25,V$1)</f>
        <v>7.8047000000000004</v>
      </c>
      <c r="W25" s="3">
        <f>[1]!s_fa_roe($A25,W$1)</f>
        <v>6.4520999999999997</v>
      </c>
      <c r="X25" s="3">
        <f>[1]!s_fa_roe($A25,X$1)</f>
        <v>3.6974999999999998</v>
      </c>
      <c r="Y25" s="3">
        <f>[1]!s_fa_roe($A25,Y$1)</f>
        <v>1.8846000000000001</v>
      </c>
    </row>
    <row r="26" spans="1:25">
      <c r="A26" s="1" t="s">
        <v>24</v>
      </c>
      <c r="B26" s="1" t="s">
        <v>67</v>
      </c>
      <c r="C26" s="3" t="str">
        <f ca="1">[1]!s_fa_roe($A26,C$1)</f>
        <v>#N/A</v>
      </c>
      <c r="D26" s="3">
        <f>[1]!s_fa_roe($A26,D$1)</f>
        <v>6.5968999999999998</v>
      </c>
      <c r="E26" s="3">
        <f>[1]!s_fa_roe($A26,E$1)</f>
        <v>2.8751000000000002</v>
      </c>
      <c r="F26" s="3">
        <f>[1]!s_fa_roe($A26,F$1)</f>
        <v>8.8204999999999991</v>
      </c>
      <c r="G26" s="3">
        <f>[1]!s_fa_roe($A26,G$1)</f>
        <v>7.1877000000000004</v>
      </c>
      <c r="H26" s="3">
        <f>[1]!s_fa_roe($A26,H$1)</f>
        <v>3.9036</v>
      </c>
      <c r="I26" s="3">
        <f>[1]!s_fa_roe($A26,I$1)</f>
        <v>1.2968</v>
      </c>
      <c r="J26" s="3">
        <f>[1]!s_fa_roe($A26,J$1)</f>
        <v>6.7809999999999997</v>
      </c>
      <c r="K26" s="3">
        <f>[1]!s_fa_roe($A26,K$1)</f>
        <v>6.4667000000000003</v>
      </c>
      <c r="L26" s="3">
        <f>[1]!s_fa_roe($A26,L$1)</f>
        <v>3.6551999999999998</v>
      </c>
      <c r="M26" s="3">
        <f>[1]!s_fa_roe($A26,M$1)</f>
        <v>1.5409999999999999</v>
      </c>
      <c r="N26" s="3">
        <f>[1]!s_fa_roe($A26,N$1)</f>
        <v>5.5965999999999996</v>
      </c>
      <c r="O26" s="3">
        <f>[1]!s_fa_roe($A26,O$1)</f>
        <v>6.7731000000000003</v>
      </c>
      <c r="P26" s="3">
        <f>[1]!s_fa_roe($A26,P$1)</f>
        <v>4.2572000000000001</v>
      </c>
      <c r="Q26" s="3">
        <f>[1]!s_fa_roe($A26,Q$1)</f>
        <v>1.8716999999999999</v>
      </c>
      <c r="R26" s="3">
        <f>[1]!s_fa_roe($A26,R$1)</f>
        <v>9.7734000000000005</v>
      </c>
      <c r="S26" s="3">
        <f>[1]!s_fa_roe($A26,S$1)</f>
        <v>7.6798000000000002</v>
      </c>
      <c r="T26" s="3">
        <f>[1]!s_fa_roe($A26,T$1)</f>
        <v>4.6351000000000004</v>
      </c>
      <c r="U26" s="3">
        <f>[1]!s_fa_roe($A26,U$1)</f>
        <v>1.8755999999999999</v>
      </c>
      <c r="V26" s="3">
        <f>[1]!s_fa_roe($A26,V$1)</f>
        <v>7.7089999999999996</v>
      </c>
      <c r="W26" s="3">
        <f>[1]!s_fa_roe($A26,W$1)</f>
        <v>5.5002000000000004</v>
      </c>
      <c r="X26" s="3">
        <f>[1]!s_fa_roe($A26,X$1)</f>
        <v>3.274</v>
      </c>
      <c r="Y26" s="3">
        <f>[1]!s_fa_roe($A26,Y$1)</f>
        <v>1.4258999999999999</v>
      </c>
    </row>
    <row r="27" spans="1:25">
      <c r="A27" s="1" t="s">
        <v>25</v>
      </c>
      <c r="B27" s="1" t="s">
        <v>68</v>
      </c>
      <c r="C27" s="3" t="str">
        <f ca="1">[1]!s_fa_roe($A27,C$1)</f>
        <v>#N/A</v>
      </c>
      <c r="D27" s="3">
        <f>[1]!s_fa_roe($A27,D$1)</f>
        <v>2.8448000000000002</v>
      </c>
      <c r="E27" s="3">
        <f>[1]!s_fa_roe($A27,E$1)</f>
        <v>1.7266999999999999</v>
      </c>
      <c r="F27" s="3">
        <f>[1]!s_fa_roe($A27,F$1)</f>
        <v>5.9446000000000003</v>
      </c>
      <c r="G27" s="3">
        <f>[1]!s_fa_roe($A27,G$1)</f>
        <v>5.3315000000000001</v>
      </c>
      <c r="H27" s="3">
        <f>[1]!s_fa_roe($A27,H$1)</f>
        <v>3.0472999999999999</v>
      </c>
      <c r="I27" s="3">
        <f>[1]!s_fa_roe($A27,I$1)</f>
        <v>0.9597</v>
      </c>
      <c r="J27" s="3">
        <f>[1]!s_fa_roe($A27,J$1)</f>
        <v>2.6315</v>
      </c>
      <c r="K27" s="3">
        <f>[1]!s_fa_roe($A27,K$1)</f>
        <v>3.2126999999999999</v>
      </c>
      <c r="L27" s="3">
        <f>[1]!s_fa_roe($A27,L$1)</f>
        <v>0.87549999999999994</v>
      </c>
      <c r="M27" s="3">
        <f>[1]!s_fa_roe($A27,M$1)</f>
        <v>1.7742</v>
      </c>
      <c r="N27" s="3">
        <f>[1]!s_fa_roe($A27,N$1)</f>
        <v>4.1653000000000002</v>
      </c>
      <c r="O27" s="3">
        <f>[1]!s_fa_roe($A27,O$1)</f>
        <v>4.2755000000000001</v>
      </c>
      <c r="P27" s="3">
        <f>[1]!s_fa_roe($A27,P$1)</f>
        <v>0.6986</v>
      </c>
      <c r="Q27" s="3">
        <f>[1]!s_fa_roe($A27,Q$1)</f>
        <v>-0.1893</v>
      </c>
      <c r="R27" s="3">
        <f>[1]!s_fa_roe($A27,R$1)</f>
        <v>4.0220000000000002</v>
      </c>
      <c r="S27" s="3">
        <f>[1]!s_fa_roe($A27,S$1)</f>
        <v>5.0251000000000001</v>
      </c>
      <c r="T27" s="3">
        <f>[1]!s_fa_roe($A27,T$1)</f>
        <v>3.3511000000000002</v>
      </c>
      <c r="U27" s="3">
        <f>[1]!s_fa_roe($A27,U$1)</f>
        <v>1.0882000000000001</v>
      </c>
      <c r="V27" s="3">
        <f>[1]!s_fa_roe($A27,V$1)</f>
        <v>3.8874</v>
      </c>
      <c r="W27" s="3">
        <f>[1]!s_fa_roe($A27,W$1)</f>
        <v>4.6311</v>
      </c>
      <c r="X27" s="3">
        <f>[1]!s_fa_roe($A27,X$1)</f>
        <v>3.1680000000000001</v>
      </c>
      <c r="Y27" s="3">
        <f>[1]!s_fa_roe($A27,Y$1)</f>
        <v>1.2839</v>
      </c>
    </row>
    <row r="28" spans="1:25">
      <c r="A28" s="1" t="s">
        <v>26</v>
      </c>
      <c r="B28" s="1" t="s">
        <v>69</v>
      </c>
      <c r="C28" s="3" t="str">
        <f ca="1">[1]!s_fa_roe($A28,C$1)</f>
        <v>#N/A</v>
      </c>
      <c r="D28" s="3">
        <f>[1]!s_fa_roe($A28,D$1)</f>
        <v>2.2812000000000001</v>
      </c>
      <c r="E28" s="3">
        <f>[1]!s_fa_roe($A28,E$1)</f>
        <v>0.73080000000000001</v>
      </c>
      <c r="F28" s="3">
        <f>[1]!s_fa_roe($A28,F$1)</f>
        <v>3.3287</v>
      </c>
      <c r="G28" s="3">
        <f>[1]!s_fa_roe($A28,G$1)</f>
        <v>3.7309999999999999</v>
      </c>
      <c r="H28" s="3">
        <f>[1]!s_fa_roe($A28,H$1)</f>
        <v>2.0419</v>
      </c>
      <c r="I28" s="3">
        <f>[1]!s_fa_roe($A28,I$1)</f>
        <v>-0.12989999999999999</v>
      </c>
      <c r="J28" s="3">
        <f>[1]!s_fa_roe($A28,J$1)</f>
        <v>2.0728</v>
      </c>
      <c r="K28" s="3">
        <f>[1]!s_fa_roe($A28,K$1)</f>
        <v>4.1562999999999999</v>
      </c>
      <c r="L28" s="3">
        <f>[1]!s_fa_roe($A28,L$1)</f>
        <v>3.2378</v>
      </c>
      <c r="M28" s="3">
        <f>[1]!s_fa_roe($A28,M$1)</f>
        <v>1.17</v>
      </c>
      <c r="N28" s="3">
        <f>[1]!s_fa_roe($A28,N$1)</f>
        <v>3.2562000000000002</v>
      </c>
      <c r="O28" s="3">
        <f>[1]!s_fa_roe($A28,O$1)</f>
        <v>4.2272999999999996</v>
      </c>
      <c r="P28" s="3">
        <f>[1]!s_fa_roe($A28,P$1)</f>
        <v>2.6583999999999999</v>
      </c>
      <c r="Q28" s="3">
        <f>[1]!s_fa_roe($A28,Q$1)</f>
        <v>0.88049999999999995</v>
      </c>
      <c r="R28" s="3">
        <f>[1]!s_fa_roe($A28,R$1)</f>
        <v>7.5293999999999999</v>
      </c>
      <c r="S28" s="3">
        <f>[1]!s_fa_roe($A28,S$1)</f>
        <v>4.5837000000000003</v>
      </c>
      <c r="T28" s="3">
        <f>[1]!s_fa_roe($A28,T$1)</f>
        <v>2.7690000000000001</v>
      </c>
      <c r="U28" s="3">
        <f>[1]!s_fa_roe($A28,U$1)</f>
        <v>0.90669999999999995</v>
      </c>
      <c r="V28" s="3">
        <f>[1]!s_fa_roe($A28,V$1)</f>
        <v>10.7563</v>
      </c>
      <c r="W28" s="3">
        <f>[1]!s_fa_roe($A28,W$1)</f>
        <v>7.7626999999999997</v>
      </c>
      <c r="X28" s="3">
        <f>[1]!s_fa_roe($A28,X$1)</f>
        <v>5.2013999999999996</v>
      </c>
      <c r="Y28" s="3">
        <f>[1]!s_fa_roe($A28,Y$1)</f>
        <v>3.0644999999999998</v>
      </c>
    </row>
    <row r="29" spans="1:25">
      <c r="A29" s="1" t="s">
        <v>27</v>
      </c>
      <c r="B29" s="1" t="s">
        <v>70</v>
      </c>
      <c r="C29" s="3" t="str">
        <f ca="1">[1]!s_fa_roe($A29,C$1)</f>
        <v>#N/A</v>
      </c>
      <c r="D29" s="3">
        <f>[1]!s_fa_roe($A29,D$1)</f>
        <v>4.6365999999999996</v>
      </c>
      <c r="E29" s="3">
        <f>[1]!s_fa_roe($A29,E$1)</f>
        <v>1.7826</v>
      </c>
      <c r="F29" s="3">
        <f>[1]!s_fa_roe($A29,F$1)</f>
        <v>0.47970000000000002</v>
      </c>
      <c r="G29" s="3">
        <f>[1]!s_fa_roe($A29,G$1)</f>
        <v>4.7293000000000003</v>
      </c>
      <c r="H29" s="3">
        <f>[1]!s_fa_roe($A29,H$1)</f>
        <v>2.8567999999999998</v>
      </c>
      <c r="I29" s="3">
        <f>[1]!s_fa_roe($A29,I$1)</f>
        <v>0.96640000000000004</v>
      </c>
      <c r="J29" s="3">
        <f>[1]!s_fa_roe($A29,J$1)</f>
        <v>-2.9975000000000001</v>
      </c>
      <c r="K29" s="3">
        <f>[1]!s_fa_roe($A29,K$1)</f>
        <v>4.6448999999999998</v>
      </c>
      <c r="L29" s="3">
        <f>[1]!s_fa_roe($A29,L$1)</f>
        <v>2.3180999999999998</v>
      </c>
      <c r="M29" s="3">
        <f>[1]!s_fa_roe($A29,M$1)</f>
        <v>1.8849</v>
      </c>
      <c r="N29" s="3">
        <f>[1]!s_fa_roe($A29,N$1)</f>
        <v>-2.9584999999999999</v>
      </c>
      <c r="O29" s="3">
        <f>[1]!s_fa_roe($A29,O$1)</f>
        <v>6.4162999999999997</v>
      </c>
      <c r="P29" s="3">
        <f>[1]!s_fa_roe($A29,P$1)</f>
        <v>4.8029000000000002</v>
      </c>
      <c r="Q29" s="3">
        <f>[1]!s_fa_roe($A29,Q$1)</f>
        <v>2.427</v>
      </c>
      <c r="R29" s="3">
        <f>[1]!s_fa_roe($A29,R$1)</f>
        <v>6.8910999999999998</v>
      </c>
      <c r="S29" s="3">
        <f>[1]!s_fa_roe($A29,S$1)</f>
        <v>7.2055999999999996</v>
      </c>
      <c r="T29" s="3">
        <f>[1]!s_fa_roe($A29,T$1)</f>
        <v>5.2202999999999999</v>
      </c>
      <c r="U29" s="3">
        <f>[1]!s_fa_roe($A29,U$1)</f>
        <v>2.5064000000000002</v>
      </c>
      <c r="V29" s="3">
        <f>[1]!s_fa_roe($A29,V$1)</f>
        <v>10.157299999999999</v>
      </c>
      <c r="W29" s="3">
        <f>[1]!s_fa_roe($A29,W$1)</f>
        <v>7.4192999999999998</v>
      </c>
      <c r="X29" s="3">
        <f>[1]!s_fa_roe($A29,X$1)</f>
        <v>4.9825999999999997</v>
      </c>
      <c r="Y29" s="3">
        <f>[1]!s_fa_roe($A29,Y$1)</f>
        <v>2.1930000000000001</v>
      </c>
    </row>
    <row r="30" spans="1:25">
      <c r="A30" s="1" t="s">
        <v>28</v>
      </c>
      <c r="B30" s="1" t="s">
        <v>71</v>
      </c>
      <c r="C30" s="3" t="str">
        <f ca="1">[1]!s_fa_roe($A30,C$1)</f>
        <v>#N/A</v>
      </c>
      <c r="D30" s="3">
        <f>[1]!s_fa_roe($A30,D$1)</f>
        <v>2.9228000000000001</v>
      </c>
      <c r="E30" s="3">
        <f>[1]!s_fa_roe($A30,E$1)</f>
        <v>0.65780000000000005</v>
      </c>
      <c r="F30" s="3">
        <f>[1]!s_fa_roe($A30,F$1)</f>
        <v>-2.7608000000000001</v>
      </c>
      <c r="G30" s="3">
        <f>[1]!s_fa_roe($A30,G$1)</f>
        <v>2.4838</v>
      </c>
      <c r="H30" s="3">
        <f>[1]!s_fa_roe($A30,H$1)</f>
        <v>1.4536</v>
      </c>
      <c r="I30" s="3">
        <f>[1]!s_fa_roe($A30,I$1)</f>
        <v>0.44990000000000002</v>
      </c>
      <c r="J30" s="3">
        <f>[1]!s_fa_roe($A30,J$1)</f>
        <v>5.4405000000000001</v>
      </c>
      <c r="K30" s="3">
        <f>[1]!s_fa_roe($A30,K$1)</f>
        <v>4.3307000000000002</v>
      </c>
      <c r="L30" s="3">
        <f>[1]!s_fa_roe($A30,L$1)</f>
        <v>3.2877000000000001</v>
      </c>
      <c r="M30" s="3">
        <f>[1]!s_fa_roe($A30,M$1)</f>
        <v>1.0468</v>
      </c>
      <c r="N30" s="3">
        <f>[1]!s_fa_roe($A30,N$1)</f>
        <v>-0.44619999999999999</v>
      </c>
      <c r="O30" s="3">
        <f>[1]!s_fa_roe($A30,O$1)</f>
        <v>3.4483999999999999</v>
      </c>
      <c r="P30" s="3">
        <f>[1]!s_fa_roe($A30,P$1)</f>
        <v>2.4792999999999998</v>
      </c>
      <c r="Q30" s="3">
        <f>[1]!s_fa_roe($A30,Q$1)</f>
        <v>0.78190000000000004</v>
      </c>
      <c r="R30" s="3">
        <f>[1]!s_fa_roe($A30,R$1)</f>
        <v>7.0129999999999999</v>
      </c>
      <c r="S30" s="3">
        <f>[1]!s_fa_roe($A30,S$1)</f>
        <v>5.7952000000000004</v>
      </c>
      <c r="T30" s="3">
        <f>[1]!s_fa_roe($A30,T$1)</f>
        <v>3.9538000000000002</v>
      </c>
      <c r="U30" s="3">
        <f>[1]!s_fa_roe($A30,U$1)</f>
        <v>1.3526</v>
      </c>
      <c r="V30" s="3">
        <f>[1]!s_fa_roe($A30,V$1)</f>
        <v>6.7576999999999998</v>
      </c>
      <c r="W30" s="3">
        <f>[1]!s_fa_roe($A30,W$1)</f>
        <v>5.7468000000000004</v>
      </c>
      <c r="X30" s="3">
        <f>[1]!s_fa_roe($A30,X$1)</f>
        <v>3.7279</v>
      </c>
      <c r="Y30" s="3">
        <f>[1]!s_fa_roe($A30,Y$1)</f>
        <v>1.1762999999999999</v>
      </c>
    </row>
    <row r="31" spans="1:25">
      <c r="A31" s="1" t="s">
        <v>29</v>
      </c>
      <c r="B31" s="1" t="s">
        <v>72</v>
      </c>
      <c r="C31" s="3" t="str">
        <f ca="1">[1]!s_fa_roe($A31,C$1)</f>
        <v>#N/A</v>
      </c>
      <c r="D31" s="3">
        <f>[1]!s_fa_roe($A31,D$1)</f>
        <v>3.6936</v>
      </c>
      <c r="E31" s="3">
        <f>[1]!s_fa_roe($A31,E$1)</f>
        <v>1.2468999999999999</v>
      </c>
      <c r="F31" s="3">
        <f>[1]!s_fa_roe($A31,F$1)</f>
        <v>5.9455</v>
      </c>
      <c r="G31" s="3">
        <f>[1]!s_fa_roe($A31,G$1)</f>
        <v>5.5636999999999999</v>
      </c>
      <c r="H31" s="3">
        <f>[1]!s_fa_roe($A31,H$1)</f>
        <v>3.0019999999999998</v>
      </c>
      <c r="I31" s="3">
        <f>[1]!s_fa_roe($A31,I$1)</f>
        <v>1.0593999999999999</v>
      </c>
      <c r="J31" s="3">
        <f>[1]!s_fa_roe($A31,J$1)</f>
        <v>6.1227999999999998</v>
      </c>
      <c r="K31" s="3" t="str">
        <f>[1]!s_fa_roe($A31,K$1)</f>
        <v>#N/A</v>
      </c>
      <c r="L31" s="3" t="str">
        <f>[1]!s_fa_roe($A31,L$1)</f>
        <v>#N/A</v>
      </c>
      <c r="M31" s="3" t="str">
        <f>[1]!s_fa_roe($A31,M$1)</f>
        <v>#N/A</v>
      </c>
      <c r="N31" s="3" t="str">
        <f>[1]!s_fa_roe($A31,N$1)</f>
        <v>#N/A</v>
      </c>
      <c r="O31" s="3" t="str">
        <f>[1]!s_fa_roe($A31,O$1)</f>
        <v>#N/A</v>
      </c>
      <c r="P31" s="3" t="str">
        <f>[1]!s_fa_roe($A31,P$1)</f>
        <v>#N/A</v>
      </c>
      <c r="Q31" s="3" t="str">
        <f>[1]!s_fa_roe($A31,Q$1)</f>
        <v>#N/A</v>
      </c>
      <c r="R31" s="3" t="str">
        <f>[1]!s_fa_roe($A31,R$1)</f>
        <v>#N/A</v>
      </c>
      <c r="S31" s="3" t="str">
        <f>[1]!s_fa_roe($A31,S$1)</f>
        <v>#N/A</v>
      </c>
      <c r="T31" s="3" t="str">
        <f>[1]!s_fa_roe($A31,T$1)</f>
        <v>#N/A</v>
      </c>
      <c r="U31" s="3" t="str">
        <f>[1]!s_fa_roe($A31,U$1)</f>
        <v>#N/A</v>
      </c>
      <c r="V31" s="3" t="str">
        <f>[1]!s_fa_roe($A31,V$1)</f>
        <v>#N/A</v>
      </c>
      <c r="W31" s="3" t="str">
        <f>[1]!s_fa_roe($A31,W$1)</f>
        <v>#N/A</v>
      </c>
      <c r="X31" s="3" t="str">
        <f>[1]!s_fa_roe($A31,X$1)</f>
        <v>#N/A</v>
      </c>
      <c r="Y31" s="3" t="str">
        <f>[1]!s_fa_roe($A31,Y$1)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E1" display="ROE" xr:uid="{63A99BAB-8A55-8644-B714-7F43F913F46D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A63FE-AE40-1249-B689-BDB22FD1840A}">
  <sheetPr codeName="Sheet9"/>
  <dimension ref="A1:Y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6"/>
  <cols>
    <col min="1" max="1" width="10.83203125" style="9"/>
    <col min="2" max="2" width="11.83203125" style="9" bestFit="1" customWidth="1"/>
    <col min="3" max="3" width="13" customWidth="1"/>
    <col min="4" max="25" width="13.33203125" bestFit="1" customWidth="1"/>
  </cols>
  <sheetData>
    <row r="1" spans="1:25" s="7" customFormat="1">
      <c r="A1" s="13" t="s">
        <v>36</v>
      </c>
      <c r="B1" s="12">
        <f ca="1">TODAY()</f>
        <v>44440</v>
      </c>
      <c r="C1" s="10">
        <f ca="1">[1]!TDays("2016-01-01",B1,"Days=Alldays","Period=Q","Direction=H","Order=D","cols=23;rows=1")</f>
        <v>44440</v>
      </c>
      <c r="D1" s="11">
        <v>44377</v>
      </c>
      <c r="E1" s="11">
        <v>44286</v>
      </c>
      <c r="F1" s="11">
        <v>44196</v>
      </c>
      <c r="G1" s="11">
        <v>44104</v>
      </c>
      <c r="H1" s="11">
        <v>44012</v>
      </c>
      <c r="I1" s="11">
        <v>43921</v>
      </c>
      <c r="J1" s="11">
        <v>43830</v>
      </c>
      <c r="K1" s="11">
        <v>43738</v>
      </c>
      <c r="L1" s="11">
        <v>43646</v>
      </c>
      <c r="M1" s="11">
        <v>43555</v>
      </c>
      <c r="N1" s="11">
        <v>43465</v>
      </c>
      <c r="O1" s="11">
        <v>43373</v>
      </c>
      <c r="P1" s="11">
        <v>43281</v>
      </c>
      <c r="Q1" s="11">
        <v>43190</v>
      </c>
      <c r="R1" s="11">
        <v>43100</v>
      </c>
      <c r="S1" s="11">
        <v>43008</v>
      </c>
      <c r="T1" s="11">
        <v>42916</v>
      </c>
      <c r="U1" s="11">
        <v>42825</v>
      </c>
      <c r="V1" s="11">
        <v>42735</v>
      </c>
      <c r="W1" s="11">
        <v>42643</v>
      </c>
      <c r="X1" s="11">
        <v>42551</v>
      </c>
      <c r="Y1" s="11">
        <v>42460</v>
      </c>
    </row>
    <row r="2" spans="1:25">
      <c r="A2" s="8" t="s">
        <v>0</v>
      </c>
      <c r="B2" s="1" t="s">
        <v>43</v>
      </c>
      <c r="C2" s="3">
        <f ca="1">[1]!s_fa_grossprofitmargin($A2,C$1)</f>
        <v>19.475999999999999</v>
      </c>
      <c r="D2" s="3">
        <f>[1]!s_fa_grossprofitmargin($A2,D$1)</f>
        <v>19.475999999999999</v>
      </c>
      <c r="E2" s="3">
        <f>[1]!s_fa_grossprofitmargin($A2,E$1)</f>
        <v>21.194299999999998</v>
      </c>
      <c r="F2" s="3">
        <f>[1]!s_fa_grossprofitmargin($A2,F$1)</f>
        <v>18.5822</v>
      </c>
      <c r="G2" s="3">
        <f>[1]!s_fa_grossprofitmargin($A2,G$1)</f>
        <v>17.72</v>
      </c>
      <c r="H2" s="3">
        <f>[1]!s_fa_grossprofitmargin($A2,H$1)</f>
        <v>15.660600000000001</v>
      </c>
      <c r="I2" s="3">
        <f>[1]!s_fa_grossprofitmargin($A2,I$1)</f>
        <v>13.1205</v>
      </c>
      <c r="J2" s="3">
        <f>[1]!s_fa_grossprofitmargin($A2,J$1)</f>
        <v>17.3383</v>
      </c>
      <c r="K2" s="3">
        <f>[1]!s_fa_grossprofitmargin($A2,K$1)</f>
        <v>17.063099999999999</v>
      </c>
      <c r="L2" s="3">
        <f>[1]!s_fa_grossprofitmargin($A2,L$1)</f>
        <v>17.244199999999999</v>
      </c>
      <c r="M2" s="3">
        <f>[1]!s_fa_grossprofitmargin($A2,M$1)</f>
        <v>17.573</v>
      </c>
      <c r="N2" s="3">
        <f>[1]!s_fa_grossprofitmargin($A2,N$1)</f>
        <v>18.3688</v>
      </c>
      <c r="O2" s="3">
        <f>[1]!s_fa_grossprofitmargin($A2,O$1)</f>
        <v>19.103000000000002</v>
      </c>
      <c r="P2" s="3">
        <f>[1]!s_fa_grossprofitmargin($A2,P$1)</f>
        <v>19.3123</v>
      </c>
      <c r="Q2" s="3">
        <f>[1]!s_fa_grossprofitmargin($A2,Q$1)</f>
        <v>19.128399999999999</v>
      </c>
      <c r="R2" s="3">
        <f>[1]!s_fa_grossprofitmargin($A2,R$1)</f>
        <v>19.546500000000002</v>
      </c>
      <c r="S2" s="3">
        <f>[1]!s_fa_grossprofitmargin($A2,S$1)</f>
        <v>19.180900000000001</v>
      </c>
      <c r="T2" s="3">
        <f>[1]!s_fa_grossprofitmargin($A2,T$1)</f>
        <v>18.865600000000001</v>
      </c>
      <c r="U2" s="3">
        <f>[1]!s_fa_grossprofitmargin($A2,U$1)</f>
        <v>19.589600000000001</v>
      </c>
      <c r="V2" s="3">
        <f>[1]!s_fa_grossprofitmargin($A2,V$1)</f>
        <v>22.064599999999999</v>
      </c>
      <c r="W2" s="3">
        <f>[1]!s_fa_grossprofitmargin($A2,W$1)</f>
        <v>22.305299999999999</v>
      </c>
      <c r="X2" s="3">
        <f>[1]!s_fa_grossprofitmargin($A2,X$1)</f>
        <v>23.025700000000001</v>
      </c>
      <c r="Y2" s="3">
        <f>[1]!s_fa_grossprofitmargin($A2,Y$1)</f>
        <v>22.5656</v>
      </c>
    </row>
    <row r="3" spans="1:25">
      <c r="A3" s="8" t="s">
        <v>1</v>
      </c>
      <c r="B3" s="1" t="s">
        <v>44</v>
      </c>
      <c r="C3" s="3">
        <f ca="1">[1]!s_fa_grossprofitmargin($A3,C$1)</f>
        <v>27.5291</v>
      </c>
      <c r="D3" s="3">
        <f>[1]!s_fa_grossprofitmargin($A3,D$1)</f>
        <v>27.5291</v>
      </c>
      <c r="E3" s="3">
        <f>[1]!s_fa_grossprofitmargin($A3,E$1)</f>
        <v>27.282299999999999</v>
      </c>
      <c r="F3" s="3">
        <f>[1]!s_fa_grossprofitmargin($A3,F$1)</f>
        <v>25.172999999999998</v>
      </c>
      <c r="G3" s="3">
        <f>[1]!s_fa_grossprofitmargin($A3,G$1)</f>
        <v>25.526299999999999</v>
      </c>
      <c r="H3" s="3">
        <f>[1]!s_fa_grossprofitmargin($A3,H$1)</f>
        <v>24.9268</v>
      </c>
      <c r="I3" s="3">
        <f>[1]!s_fa_grossprofitmargin($A3,I$1)</f>
        <v>25.606400000000001</v>
      </c>
      <c r="J3" s="3">
        <f>[1]!s_fa_grossprofitmargin($A3,J$1)</f>
        <v>27.144300000000001</v>
      </c>
      <c r="K3" s="3">
        <f>[1]!s_fa_grossprofitmargin($A3,K$1)</f>
        <v>28.8096</v>
      </c>
      <c r="L3" s="3">
        <f>[1]!s_fa_grossprofitmargin($A3,L$1)</f>
        <v>28.8765</v>
      </c>
      <c r="M3" s="3">
        <f>[1]!s_fa_grossprofitmargin($A3,M$1)</f>
        <v>28.985800000000001</v>
      </c>
      <c r="N3" s="3">
        <f>[1]!s_fa_grossprofitmargin($A3,N$1)</f>
        <v>31.1449</v>
      </c>
      <c r="O3" s="3">
        <f>[1]!s_fa_grossprofitmargin($A3,O$1)</f>
        <v>31.0852</v>
      </c>
      <c r="P3" s="3">
        <f>[1]!s_fa_grossprofitmargin($A3,P$1)</f>
        <v>31.550999999999998</v>
      </c>
      <c r="Q3" s="3">
        <f>[1]!s_fa_grossprofitmargin($A3,Q$1)</f>
        <v>31.568300000000001</v>
      </c>
      <c r="R3" s="3">
        <f>[1]!s_fa_grossprofitmargin($A3,R$1)</f>
        <v>31.370999999999999</v>
      </c>
      <c r="S3" s="3">
        <f>[1]!s_fa_grossprofitmargin($A3,S$1)</f>
        <v>29.753</v>
      </c>
      <c r="T3" s="3">
        <f>[1]!s_fa_grossprofitmargin($A3,T$1)</f>
        <v>29.927299999999999</v>
      </c>
      <c r="U3" s="3">
        <f>[1]!s_fa_grossprofitmargin($A3,U$1)</f>
        <v>30.604399999999998</v>
      </c>
      <c r="V3" s="3">
        <f>[1]!s_fa_grossprofitmargin($A3,V$1)</f>
        <v>27.546199999999999</v>
      </c>
      <c r="W3" s="3">
        <f>[1]!s_fa_grossprofitmargin($A3,W$1)</f>
        <v>26.0337</v>
      </c>
      <c r="X3" s="3">
        <f>[1]!s_fa_grossprofitmargin($A3,X$1)</f>
        <v>26.785299999999999</v>
      </c>
      <c r="Y3" s="3">
        <f>[1]!s_fa_grossprofitmargin($A3,Y$1)</f>
        <v>27.1538</v>
      </c>
    </row>
    <row r="4" spans="1:25">
      <c r="A4" s="8" t="s">
        <v>2</v>
      </c>
      <c r="B4" s="1" t="s">
        <v>45</v>
      </c>
      <c r="C4" s="3">
        <f ca="1">[1]!s_fa_grossprofitmargin($A4,C$1)</f>
        <v>10.8005</v>
      </c>
      <c r="D4" s="3">
        <f>[1]!s_fa_grossprofitmargin($A4,D$1)</f>
        <v>10.8005</v>
      </c>
      <c r="E4" s="3">
        <f>[1]!s_fa_grossprofitmargin($A4,E$1)</f>
        <v>10.2354</v>
      </c>
      <c r="F4" s="3">
        <f>[1]!s_fa_grossprofitmargin($A4,F$1)</f>
        <v>9.1179000000000006</v>
      </c>
      <c r="G4" s="3">
        <f>[1]!s_fa_grossprofitmargin($A4,G$1)</f>
        <v>8.8110999999999997</v>
      </c>
      <c r="H4" s="3">
        <f>[1]!s_fa_grossprofitmargin($A4,H$1)</f>
        <v>8.0572999999999997</v>
      </c>
      <c r="I4" s="3">
        <f>[1]!s_fa_grossprofitmargin($A4,I$1)</f>
        <v>7.8</v>
      </c>
      <c r="J4" s="3">
        <f>[1]!s_fa_grossprofitmargin($A4,J$1)</f>
        <v>9.0795999999999992</v>
      </c>
      <c r="K4" s="3">
        <f>[1]!s_fa_grossprofitmargin($A4,K$1)</f>
        <v>9.1007999999999996</v>
      </c>
      <c r="L4" s="3">
        <f>[1]!s_fa_grossprofitmargin($A4,L$1)</f>
        <v>9.4916999999999998</v>
      </c>
      <c r="M4" s="3">
        <f>[1]!s_fa_grossprofitmargin($A4,M$1)</f>
        <v>9.5940999999999992</v>
      </c>
      <c r="N4" s="3">
        <f>[1]!s_fa_grossprofitmargin($A4,N$1)</f>
        <v>10.2559</v>
      </c>
      <c r="O4" s="3">
        <f>[1]!s_fa_grossprofitmargin($A4,O$1)</f>
        <v>10.5625</v>
      </c>
      <c r="P4" s="3">
        <f>[1]!s_fa_grossprofitmargin($A4,P$1)</f>
        <v>10.948499999999999</v>
      </c>
      <c r="Q4" s="3">
        <f>[1]!s_fa_grossprofitmargin($A4,Q$1)</f>
        <v>11.2126</v>
      </c>
      <c r="R4" s="3">
        <f>[1]!s_fa_grossprofitmargin($A4,R$1)</f>
        <v>10.9168</v>
      </c>
      <c r="S4" s="3">
        <f>[1]!s_fa_grossprofitmargin($A4,S$1)</f>
        <v>10.0722</v>
      </c>
      <c r="T4" s="3">
        <f>[1]!s_fa_grossprofitmargin($A4,T$1)</f>
        <v>9.6401000000000003</v>
      </c>
      <c r="U4" s="3">
        <f>[1]!s_fa_grossprofitmargin($A4,U$1)</f>
        <v>10.1571</v>
      </c>
      <c r="V4" s="3">
        <f>[1]!s_fa_grossprofitmargin($A4,V$1)</f>
        <v>8.8964999999999996</v>
      </c>
      <c r="W4" s="3">
        <f>[1]!s_fa_grossprofitmargin($A4,W$1)</f>
        <v>8.3581000000000003</v>
      </c>
      <c r="X4" s="3">
        <f>[1]!s_fa_grossprofitmargin($A4,X$1)</f>
        <v>8.3665000000000003</v>
      </c>
      <c r="Y4" s="3">
        <f>[1]!s_fa_grossprofitmargin($A4,Y$1)</f>
        <v>8.1425000000000001</v>
      </c>
    </row>
    <row r="5" spans="1:25">
      <c r="A5" s="8" t="s">
        <v>3</v>
      </c>
      <c r="B5" s="1" t="s">
        <v>46</v>
      </c>
      <c r="C5" s="3">
        <f ca="1">[1]!s_fa_grossprofitmargin($A5,C$1)</f>
        <v>19.804200000000002</v>
      </c>
      <c r="D5" s="3">
        <f>[1]!s_fa_grossprofitmargin($A5,D$1)</f>
        <v>19.804200000000002</v>
      </c>
      <c r="E5" s="3">
        <f>[1]!s_fa_grossprofitmargin($A5,E$1)</f>
        <v>19.873100000000001</v>
      </c>
      <c r="F5" s="3">
        <f>[1]!s_fa_grossprofitmargin($A5,F$1)</f>
        <v>23.98</v>
      </c>
      <c r="G5" s="3">
        <f>[1]!s_fa_grossprofitmargin($A5,G$1)</f>
        <v>25.337599999999998</v>
      </c>
      <c r="H5" s="3">
        <f>[1]!s_fa_grossprofitmargin($A5,H$1)</f>
        <v>24.232399999999998</v>
      </c>
      <c r="I5" s="3">
        <f>[1]!s_fa_grossprofitmargin($A5,I$1)</f>
        <v>22.349</v>
      </c>
      <c r="J5" s="3">
        <f>[1]!s_fa_grossprofitmargin($A5,J$1)</f>
        <v>22.000599999999999</v>
      </c>
      <c r="K5" s="3">
        <f>[1]!s_fa_grossprofitmargin($A5,K$1)</f>
        <v>23.004100000000001</v>
      </c>
      <c r="L5" s="3">
        <f>[1]!s_fa_grossprofitmargin($A5,L$1)</f>
        <v>22.5227</v>
      </c>
      <c r="M5" s="3">
        <f>[1]!s_fa_grossprofitmargin($A5,M$1)</f>
        <v>21.205500000000001</v>
      </c>
      <c r="N5" s="3">
        <f>[1]!s_fa_grossprofitmargin($A5,N$1)</f>
        <v>20.727499999999999</v>
      </c>
      <c r="O5" s="3">
        <f>[1]!s_fa_grossprofitmargin($A5,O$1)</f>
        <v>21.478999999999999</v>
      </c>
      <c r="P5" s="3">
        <f>[1]!s_fa_grossprofitmargin($A5,P$1)</f>
        <v>20.568300000000001</v>
      </c>
      <c r="Q5" s="3">
        <f>[1]!s_fa_grossprofitmargin($A5,Q$1)</f>
        <v>19.596699999999998</v>
      </c>
      <c r="R5" s="3">
        <f>[1]!s_fa_grossprofitmargin($A5,R$1)</f>
        <v>20.5533</v>
      </c>
      <c r="S5" s="3">
        <f>[1]!s_fa_grossprofitmargin($A5,S$1)</f>
        <v>21.305</v>
      </c>
      <c r="T5" s="3">
        <f>[1]!s_fa_grossprofitmargin($A5,T$1)</f>
        <v>20.032699999999998</v>
      </c>
      <c r="U5" s="3">
        <f>[1]!s_fa_grossprofitmargin($A5,U$1)</f>
        <v>18.823899999999998</v>
      </c>
      <c r="V5" s="3">
        <f>[1]!s_fa_grossprofitmargin($A5,V$1)</f>
        <v>27.1694</v>
      </c>
      <c r="W5" s="3">
        <f>[1]!s_fa_grossprofitmargin($A5,W$1)</f>
        <v>30.051500000000001</v>
      </c>
      <c r="X5" s="3">
        <f>[1]!s_fa_grossprofitmargin($A5,X$1)</f>
        <v>30.351199999999999</v>
      </c>
      <c r="Y5" s="3">
        <f>[1]!s_fa_grossprofitmargin($A5,Y$1)</f>
        <v>29.2347</v>
      </c>
    </row>
    <row r="6" spans="1:25">
      <c r="A6" s="8" t="s">
        <v>4</v>
      </c>
      <c r="B6" s="1" t="s">
        <v>47</v>
      </c>
      <c r="C6" s="3">
        <f ca="1">[1]!s_fa_grossprofitmargin($A6,C$1)</f>
        <v>12.6976</v>
      </c>
      <c r="D6" s="3">
        <f>[1]!s_fa_grossprofitmargin($A6,D$1)</f>
        <v>12.6976</v>
      </c>
      <c r="E6" s="3">
        <f>[1]!s_fa_grossprofitmargin($A6,E$1)</f>
        <v>11.681900000000001</v>
      </c>
      <c r="F6" s="3">
        <f>[1]!s_fa_grossprofitmargin($A6,F$1)</f>
        <v>10.323499999999999</v>
      </c>
      <c r="G6" s="3">
        <f>[1]!s_fa_grossprofitmargin($A6,G$1)</f>
        <v>10.5479</v>
      </c>
      <c r="H6" s="3">
        <f>[1]!s_fa_grossprofitmargin($A6,H$1)</f>
        <v>10.2758</v>
      </c>
      <c r="I6" s="3">
        <f>[1]!s_fa_grossprofitmargin($A6,I$1)</f>
        <v>9.9466000000000001</v>
      </c>
      <c r="J6" s="3">
        <f>[1]!s_fa_grossprofitmargin($A6,J$1)</f>
        <v>11.077999999999999</v>
      </c>
      <c r="K6" s="3">
        <f>[1]!s_fa_grossprofitmargin($A6,K$1)</f>
        <v>11.221399999999999</v>
      </c>
      <c r="L6" s="3">
        <f>[1]!s_fa_grossprofitmargin($A6,L$1)</f>
        <v>11.4139</v>
      </c>
      <c r="M6" s="3">
        <f>[1]!s_fa_grossprofitmargin($A6,M$1)</f>
        <v>10.284700000000001</v>
      </c>
      <c r="N6" s="3">
        <f>[1]!s_fa_grossprofitmargin($A6,N$1)</f>
        <v>14.7216</v>
      </c>
      <c r="O6" s="3">
        <f>[1]!s_fa_grossprofitmargin($A6,O$1)</f>
        <v>15.2652</v>
      </c>
      <c r="P6" s="3">
        <f>[1]!s_fa_grossprofitmargin($A6,P$1)</f>
        <v>14.857699999999999</v>
      </c>
      <c r="Q6" s="3">
        <f>[1]!s_fa_grossprofitmargin($A6,Q$1)</f>
        <v>14.1891</v>
      </c>
      <c r="R6" s="3">
        <f>[1]!s_fa_grossprofitmargin($A6,R$1)</f>
        <v>13.214499999999999</v>
      </c>
      <c r="S6" s="3">
        <f>[1]!s_fa_grossprofitmargin($A6,S$1)</f>
        <v>11.8452</v>
      </c>
      <c r="T6" s="3">
        <f>[1]!s_fa_grossprofitmargin($A6,T$1)</f>
        <v>10.4924</v>
      </c>
      <c r="U6" s="3">
        <f>[1]!s_fa_grossprofitmargin($A6,U$1)</f>
        <v>10.5466</v>
      </c>
      <c r="V6" s="3">
        <f>[1]!s_fa_grossprofitmargin($A6,V$1)</f>
        <v>10.5931</v>
      </c>
      <c r="W6" s="3">
        <f>[1]!s_fa_grossprofitmargin($A6,W$1)</f>
        <v>10.492599999999999</v>
      </c>
      <c r="X6" s="3">
        <f>[1]!s_fa_grossprofitmargin($A6,X$1)</f>
        <v>10.5931</v>
      </c>
      <c r="Y6" s="3">
        <f>[1]!s_fa_grossprofitmargin($A6,Y$1)</f>
        <v>7.5937999999999999</v>
      </c>
    </row>
    <row r="7" spans="1:25">
      <c r="A7" s="8" t="s">
        <v>5</v>
      </c>
      <c r="B7" s="1" t="s">
        <v>48</v>
      </c>
      <c r="C7" s="3">
        <f ca="1">[1]!s_fa_grossprofitmargin($A7,C$1)</f>
        <v>24.3446</v>
      </c>
      <c r="D7" s="3">
        <f>[1]!s_fa_grossprofitmargin($A7,D$1)</f>
        <v>24.3446</v>
      </c>
      <c r="E7" s="3">
        <f>[1]!s_fa_grossprofitmargin($A7,E$1)</f>
        <v>23.5975</v>
      </c>
      <c r="F7" s="3">
        <f>[1]!s_fa_grossprofitmargin($A7,F$1)</f>
        <v>20.804300000000001</v>
      </c>
      <c r="G7" s="3">
        <f>[1]!s_fa_grossprofitmargin($A7,G$1)</f>
        <v>21.009599999999999</v>
      </c>
      <c r="H7" s="3">
        <f>[1]!s_fa_grossprofitmargin($A7,H$1)</f>
        <v>20.6004</v>
      </c>
      <c r="I7" s="3">
        <f>[1]!s_fa_grossprofitmargin($A7,I$1)</f>
        <v>20.305599999999998</v>
      </c>
      <c r="J7" s="3">
        <f>[1]!s_fa_grossprofitmargin($A7,J$1)</f>
        <v>21.308599999999998</v>
      </c>
      <c r="K7" s="3">
        <f>[1]!s_fa_grossprofitmargin($A7,K$1)</f>
        <v>18.270700000000001</v>
      </c>
      <c r="L7" s="3">
        <f>[1]!s_fa_grossprofitmargin($A7,L$1)</f>
        <v>21.2941</v>
      </c>
      <c r="M7" s="3">
        <f>[1]!s_fa_grossprofitmargin($A7,M$1)</f>
        <v>21.2942</v>
      </c>
      <c r="N7" s="3">
        <f>[1]!s_fa_grossprofitmargin($A7,N$1)</f>
        <v>22.551100000000002</v>
      </c>
      <c r="O7" s="3">
        <f>[1]!s_fa_grossprofitmargin($A7,O$1)</f>
        <v>22.6662</v>
      </c>
      <c r="P7" s="3">
        <f>[1]!s_fa_grossprofitmargin($A7,P$1)</f>
        <v>22.679600000000001</v>
      </c>
      <c r="Q7" s="3">
        <f>[1]!s_fa_grossprofitmargin($A7,Q$1)</f>
        <v>23.098099999999999</v>
      </c>
      <c r="R7" s="3">
        <f>[1]!s_fa_grossprofitmargin($A7,R$1)</f>
        <v>21.345600000000001</v>
      </c>
      <c r="S7" s="3">
        <f>[1]!s_fa_grossprofitmargin($A7,S$1)</f>
        <v>20.957599999999999</v>
      </c>
      <c r="T7" s="3">
        <f>[1]!s_fa_grossprofitmargin($A7,T$1)</f>
        <v>20.700800000000001</v>
      </c>
      <c r="U7" s="3">
        <f>[1]!s_fa_grossprofitmargin($A7,U$1)</f>
        <v>20.980799999999999</v>
      </c>
      <c r="V7" s="3">
        <f>[1]!s_fa_grossprofitmargin($A7,V$1)</f>
        <v>18.035799999999998</v>
      </c>
      <c r="W7" s="3">
        <f>[1]!s_fa_grossprofitmargin($A7,W$1)</f>
        <v>18.643899999999999</v>
      </c>
      <c r="X7" s="3">
        <f>[1]!s_fa_grossprofitmargin($A7,X$1)</f>
        <v>19.189499999999999</v>
      </c>
      <c r="Y7" s="3">
        <f>[1]!s_fa_grossprofitmargin($A7,Y$1)</f>
        <v>19.450099999999999</v>
      </c>
    </row>
    <row r="8" spans="1:25">
      <c r="A8" s="8" t="s">
        <v>6</v>
      </c>
      <c r="B8" s="1" t="s">
        <v>49</v>
      </c>
      <c r="C8" s="3">
        <f ca="1">[1]!s_fa_grossprofitmargin($A8,C$1)</f>
        <v>10.5036</v>
      </c>
      <c r="D8" s="3">
        <f>[1]!s_fa_grossprofitmargin($A8,D$1)</f>
        <v>10.5036</v>
      </c>
      <c r="E8" s="3">
        <f>[1]!s_fa_grossprofitmargin($A8,E$1)</f>
        <v>9.9555000000000007</v>
      </c>
      <c r="F8" s="3">
        <f>[1]!s_fa_grossprofitmargin($A8,F$1)</f>
        <v>11.3926</v>
      </c>
      <c r="G8" s="3">
        <f>[1]!s_fa_grossprofitmargin($A8,G$1)</f>
        <v>10.9611</v>
      </c>
      <c r="H8" s="3">
        <f>[1]!s_fa_grossprofitmargin($A8,H$1)</f>
        <v>11.023899999999999</v>
      </c>
      <c r="I8" s="3">
        <f>[1]!s_fa_grossprofitmargin($A8,I$1)</f>
        <v>10.677</v>
      </c>
      <c r="J8" s="3">
        <f>[1]!s_fa_grossprofitmargin($A8,J$1)</f>
        <v>11.673299999999999</v>
      </c>
      <c r="K8" s="3">
        <f>[1]!s_fa_grossprofitmargin($A8,K$1)</f>
        <v>11.395300000000001</v>
      </c>
      <c r="L8" s="3">
        <f>[1]!s_fa_grossprofitmargin($A8,L$1)</f>
        <v>11.422800000000001</v>
      </c>
      <c r="M8" s="3">
        <f>[1]!s_fa_grossprofitmargin($A8,M$1)</f>
        <v>11.11</v>
      </c>
      <c r="N8" s="3">
        <f>[1]!s_fa_grossprofitmargin($A8,N$1)</f>
        <v>12.3651</v>
      </c>
      <c r="O8" s="3">
        <f>[1]!s_fa_grossprofitmargin($A8,O$1)</f>
        <v>11.7379</v>
      </c>
      <c r="P8" s="3">
        <f>[1]!s_fa_grossprofitmargin($A8,P$1)</f>
        <v>11.8035</v>
      </c>
      <c r="Q8" s="3">
        <f>[1]!s_fa_grossprofitmargin($A8,Q$1)</f>
        <v>11.0358</v>
      </c>
      <c r="R8" s="3">
        <f>[1]!s_fa_grossprofitmargin($A8,R$1)</f>
        <v>11.742599999999999</v>
      </c>
      <c r="S8" s="3">
        <f>[1]!s_fa_grossprofitmargin($A8,S$1)</f>
        <v>11.050800000000001</v>
      </c>
      <c r="T8" s="3">
        <f>[1]!s_fa_grossprofitmargin($A8,T$1)</f>
        <v>11.29</v>
      </c>
      <c r="U8" s="3">
        <f>[1]!s_fa_grossprofitmargin($A8,U$1)</f>
        <v>10.5688</v>
      </c>
      <c r="V8" s="3">
        <f>[1]!s_fa_grossprofitmargin($A8,V$1)</f>
        <v>11.2323</v>
      </c>
      <c r="W8" s="3">
        <f>[1]!s_fa_grossprofitmargin($A8,W$1)</f>
        <v>10.754799999999999</v>
      </c>
      <c r="X8" s="3">
        <f>[1]!s_fa_grossprofitmargin($A8,X$1)</f>
        <v>11.077299999999999</v>
      </c>
      <c r="Y8" s="3">
        <f>[1]!s_fa_grossprofitmargin($A8,Y$1)</f>
        <v>11.629799999999999</v>
      </c>
    </row>
    <row r="9" spans="1:25">
      <c r="A9" s="8" t="s">
        <v>7</v>
      </c>
      <c r="B9" s="1" t="s">
        <v>50</v>
      </c>
      <c r="C9" s="3">
        <f ca="1">[1]!s_fa_grossprofitmargin($A9,C$1)</f>
        <v>28.804099999999998</v>
      </c>
      <c r="D9" s="3">
        <f>[1]!s_fa_grossprofitmargin($A9,D$1)</f>
        <v>28.804099999999998</v>
      </c>
      <c r="E9" s="3">
        <f>[1]!s_fa_grossprofitmargin($A9,E$1)</f>
        <v>27.709800000000001</v>
      </c>
      <c r="F9" s="3">
        <f>[1]!s_fa_grossprofitmargin($A9,F$1)</f>
        <v>29.359000000000002</v>
      </c>
      <c r="G9" s="3">
        <f>[1]!s_fa_grossprofitmargin($A9,G$1)</f>
        <v>30.022400000000001</v>
      </c>
      <c r="H9" s="3">
        <f>[1]!s_fa_grossprofitmargin($A9,H$1)</f>
        <v>30.582100000000001</v>
      </c>
      <c r="I9" s="3">
        <f>[1]!s_fa_grossprofitmargin($A9,I$1)</f>
        <v>30.139900000000001</v>
      </c>
      <c r="J9" s="3">
        <f>[1]!s_fa_grossprofitmargin($A9,J$1)</f>
        <v>31.1889</v>
      </c>
      <c r="K9" s="3">
        <f>[1]!s_fa_grossprofitmargin($A9,K$1)</f>
        <v>31.281500000000001</v>
      </c>
      <c r="L9" s="3">
        <f>[1]!s_fa_grossprofitmargin($A9,L$1)</f>
        <v>30.9163</v>
      </c>
      <c r="M9" s="3">
        <f>[1]!s_fa_grossprofitmargin($A9,M$1)</f>
        <v>28.808900000000001</v>
      </c>
      <c r="N9" s="3">
        <f>[1]!s_fa_grossprofitmargin($A9,N$1)</f>
        <v>31.849</v>
      </c>
      <c r="O9" s="3">
        <f>[1]!s_fa_grossprofitmargin($A9,O$1)</f>
        <v>32.866</v>
      </c>
      <c r="P9" s="3">
        <f>[1]!s_fa_grossprofitmargin($A9,P$1)</f>
        <v>33.5002</v>
      </c>
      <c r="Q9" s="3">
        <f>[1]!s_fa_grossprofitmargin($A9,Q$1)</f>
        <v>31.389099999999999</v>
      </c>
      <c r="R9" s="3">
        <f>[1]!s_fa_grossprofitmargin($A9,R$1)</f>
        <v>29.562200000000001</v>
      </c>
      <c r="S9" s="3">
        <f>[1]!s_fa_grossprofitmargin($A9,S$1)</f>
        <v>27.7361</v>
      </c>
      <c r="T9" s="3">
        <f>[1]!s_fa_grossprofitmargin($A9,T$1)</f>
        <v>26.495999999999999</v>
      </c>
      <c r="U9" s="3">
        <f>[1]!s_fa_grossprofitmargin($A9,U$1)</f>
        <v>24.25</v>
      </c>
      <c r="V9" s="3">
        <f>[1]!s_fa_grossprofitmargin($A9,V$1)</f>
        <v>27.5137</v>
      </c>
      <c r="W9" s="3">
        <f>[1]!s_fa_grossprofitmargin($A9,W$1)</f>
        <v>26.87</v>
      </c>
      <c r="X9" s="3">
        <f>[1]!s_fa_grossprofitmargin($A9,X$1)</f>
        <v>25.719000000000001</v>
      </c>
      <c r="Y9" s="3">
        <f>[1]!s_fa_grossprofitmargin($A9,Y$1)</f>
        <v>22.441299999999998</v>
      </c>
    </row>
    <row r="10" spans="1:25">
      <c r="A10" s="8" t="s">
        <v>8</v>
      </c>
      <c r="B10" s="1" t="s">
        <v>51</v>
      </c>
      <c r="C10" s="3">
        <f ca="1">[1]!s_fa_grossprofitmargin($A10,C$1)</f>
        <v>24.4605</v>
      </c>
      <c r="D10" s="3">
        <f>[1]!s_fa_grossprofitmargin($A10,D$1)</f>
        <v>24.4605</v>
      </c>
      <c r="E10" s="3">
        <f>[1]!s_fa_grossprofitmargin($A10,E$1)</f>
        <v>24.723700000000001</v>
      </c>
      <c r="F10" s="3">
        <f>[1]!s_fa_grossprofitmargin($A10,F$1)</f>
        <v>24.823899999999998</v>
      </c>
      <c r="G10" s="3">
        <f>[1]!s_fa_grossprofitmargin($A10,G$1)</f>
        <v>26.216699999999999</v>
      </c>
      <c r="H10" s="3">
        <f>[1]!s_fa_grossprofitmargin($A10,H$1)</f>
        <v>25.604700000000001</v>
      </c>
      <c r="I10" s="3">
        <f>[1]!s_fa_grossprofitmargin($A10,I$1)</f>
        <v>25.498999999999999</v>
      </c>
      <c r="J10" s="3">
        <f>[1]!s_fa_grossprofitmargin($A10,J$1)</f>
        <v>26.715599999999998</v>
      </c>
      <c r="K10" s="3">
        <f>[1]!s_fa_grossprofitmargin($A10,K$1)</f>
        <v>26.220600000000001</v>
      </c>
      <c r="L10" s="3">
        <f>[1]!s_fa_grossprofitmargin($A10,L$1)</f>
        <v>26.163499999999999</v>
      </c>
      <c r="M10" s="3">
        <f>[1]!s_fa_grossprofitmargin($A10,M$1)</f>
        <v>24.704599999999999</v>
      </c>
      <c r="N10" s="3">
        <f>[1]!s_fa_grossprofitmargin($A10,N$1)</f>
        <v>26.722999999999999</v>
      </c>
      <c r="O10" s="3">
        <f>[1]!s_fa_grossprofitmargin($A10,O$1)</f>
        <v>27.015799999999999</v>
      </c>
      <c r="P10" s="3">
        <f>[1]!s_fa_grossprofitmargin($A10,P$1)</f>
        <v>27.074200000000001</v>
      </c>
      <c r="Q10" s="3">
        <f>[1]!s_fa_grossprofitmargin($A10,Q$1)</f>
        <v>26.5809</v>
      </c>
      <c r="R10" s="3">
        <f>[1]!s_fa_grossprofitmargin($A10,R$1)</f>
        <v>27.493200000000002</v>
      </c>
      <c r="S10" s="3">
        <f>[1]!s_fa_grossprofitmargin($A10,S$1)</f>
        <v>27.380400000000002</v>
      </c>
      <c r="T10" s="3">
        <f>[1]!s_fa_grossprofitmargin($A10,T$1)</f>
        <v>27.2715</v>
      </c>
      <c r="U10" s="3">
        <f>[1]!s_fa_grossprofitmargin($A10,U$1)</f>
        <v>26.047999999999998</v>
      </c>
      <c r="V10" s="3">
        <f>[1]!s_fa_grossprofitmargin($A10,V$1)</f>
        <v>25.186399999999999</v>
      </c>
      <c r="W10" s="3">
        <f>[1]!s_fa_grossprofitmargin($A10,W$1)</f>
        <v>24.894600000000001</v>
      </c>
      <c r="X10" s="3">
        <f>[1]!s_fa_grossprofitmargin($A10,X$1)</f>
        <v>24.785299999999999</v>
      </c>
      <c r="Y10" s="3">
        <f>[1]!s_fa_grossprofitmargin($A10,Y$1)</f>
        <v>24.6371</v>
      </c>
    </row>
    <row r="11" spans="1:25">
      <c r="A11" s="8" t="s">
        <v>9</v>
      </c>
      <c r="B11" s="1" t="s">
        <v>52</v>
      </c>
      <c r="C11" s="3">
        <f ca="1">[1]!s_fa_grossprofitmargin($A11,C$1)</f>
        <v>22.814</v>
      </c>
      <c r="D11" s="3">
        <f>[1]!s_fa_grossprofitmargin($A11,D$1)</f>
        <v>22.814</v>
      </c>
      <c r="E11" s="3">
        <f>[1]!s_fa_grossprofitmargin($A11,E$1)</f>
        <v>23.126200000000001</v>
      </c>
      <c r="F11" s="3">
        <f>[1]!s_fa_grossprofitmargin($A11,F$1)</f>
        <v>23.4392</v>
      </c>
      <c r="G11" s="3">
        <f>[1]!s_fa_grossprofitmargin($A11,G$1)</f>
        <v>23.6328</v>
      </c>
      <c r="H11" s="3">
        <f>[1]!s_fa_grossprofitmargin($A11,H$1)</f>
        <v>23.5182</v>
      </c>
      <c r="I11" s="3">
        <f>[1]!s_fa_grossprofitmargin($A11,I$1)</f>
        <v>22.7851</v>
      </c>
      <c r="J11" s="3">
        <f>[1]!s_fa_grossprofitmargin($A11,J$1)</f>
        <v>24.150099999999998</v>
      </c>
      <c r="K11" s="3">
        <f>[1]!s_fa_grossprofitmargin($A11,K$1)</f>
        <v>23.640799999999999</v>
      </c>
      <c r="L11" s="3">
        <f>[1]!s_fa_grossprofitmargin($A11,L$1)</f>
        <v>22.5181</v>
      </c>
      <c r="M11" s="3">
        <f>[1]!s_fa_grossprofitmargin($A11,M$1)</f>
        <v>21.950399999999998</v>
      </c>
      <c r="N11" s="3">
        <f>[1]!s_fa_grossprofitmargin($A11,N$1)</f>
        <v>21.786899999999999</v>
      </c>
      <c r="O11" s="3">
        <f>[1]!s_fa_grossprofitmargin($A11,O$1)</f>
        <v>21.880500000000001</v>
      </c>
      <c r="P11" s="3">
        <f>[1]!s_fa_grossprofitmargin($A11,P$1)</f>
        <v>21.4773</v>
      </c>
      <c r="Q11" s="3">
        <f>[1]!s_fa_grossprofitmargin($A11,Q$1)</f>
        <v>21.062899999999999</v>
      </c>
      <c r="R11" s="3">
        <f>[1]!s_fa_grossprofitmargin($A11,R$1)</f>
        <v>22.8324</v>
      </c>
      <c r="S11" s="3">
        <f>[1]!s_fa_grossprofitmargin($A11,S$1)</f>
        <v>21.7285</v>
      </c>
      <c r="T11" s="3">
        <f>[1]!s_fa_grossprofitmargin($A11,T$1)</f>
        <v>21.332599999999999</v>
      </c>
      <c r="U11" s="3">
        <f>[1]!s_fa_grossprofitmargin($A11,U$1)</f>
        <v>21.055499999999999</v>
      </c>
      <c r="V11" s="3">
        <f>[1]!s_fa_grossprofitmargin($A11,V$1)</f>
        <v>21.241800000000001</v>
      </c>
      <c r="W11" s="3">
        <f>[1]!s_fa_grossprofitmargin($A11,W$1)</f>
        <v>22.2042</v>
      </c>
      <c r="X11" s="3">
        <f>[1]!s_fa_grossprofitmargin($A11,X$1)</f>
        <v>22.521000000000001</v>
      </c>
      <c r="Y11" s="3">
        <f>[1]!s_fa_grossprofitmargin($A11,Y$1)</f>
        <v>22.128900000000002</v>
      </c>
    </row>
    <row r="12" spans="1:25">
      <c r="A12" s="8" t="s">
        <v>10</v>
      </c>
      <c r="B12" s="1" t="s">
        <v>53</v>
      </c>
      <c r="C12" s="3">
        <f ca="1">[1]!s_fa_grossprofitmargin($A12,C$1)</f>
        <v>21.9299</v>
      </c>
      <c r="D12" s="3">
        <f>[1]!s_fa_grossprofitmargin($A12,D$1)</f>
        <v>21.9299</v>
      </c>
      <c r="E12" s="3">
        <f>[1]!s_fa_grossprofitmargin($A12,E$1)</f>
        <v>22.016400000000001</v>
      </c>
      <c r="F12" s="3">
        <f>[1]!s_fa_grossprofitmargin($A12,F$1)</f>
        <v>21.372</v>
      </c>
      <c r="G12" s="3">
        <f>[1]!s_fa_grossprofitmargin($A12,G$1)</f>
        <v>22.473400000000002</v>
      </c>
      <c r="H12" s="3">
        <f>[1]!s_fa_grossprofitmargin($A12,H$1)</f>
        <v>22.425599999999999</v>
      </c>
      <c r="I12" s="3">
        <f>[1]!s_fa_grossprofitmargin($A12,I$1)</f>
        <v>22.6084</v>
      </c>
      <c r="J12" s="3">
        <f>[1]!s_fa_grossprofitmargin($A12,J$1)</f>
        <v>22.215399999999999</v>
      </c>
      <c r="K12" s="3">
        <f>[1]!s_fa_grossprofitmargin($A12,K$1)</f>
        <v>21.612300000000001</v>
      </c>
      <c r="L12" s="3">
        <f>[1]!s_fa_grossprofitmargin($A12,L$1)</f>
        <v>21.5688</v>
      </c>
      <c r="M12" s="3">
        <f>[1]!s_fa_grossprofitmargin($A12,M$1)</f>
        <v>21.125</v>
      </c>
      <c r="N12" s="3">
        <f>[1]!s_fa_grossprofitmargin($A12,N$1)</f>
        <v>21.482099999999999</v>
      </c>
      <c r="O12" s="3">
        <f>[1]!s_fa_grossprofitmargin($A12,O$1)</f>
        <v>21.4312</v>
      </c>
      <c r="P12" s="3">
        <f>[1]!s_fa_grossprofitmargin($A12,P$1)</f>
        <v>21.192399999999999</v>
      </c>
      <c r="Q12" s="3">
        <f>[1]!s_fa_grossprofitmargin($A12,Q$1)</f>
        <v>21.734999999999999</v>
      </c>
      <c r="R12" s="3">
        <f>[1]!s_fa_grossprofitmargin($A12,R$1)</f>
        <v>22.450700000000001</v>
      </c>
      <c r="S12" s="3">
        <f>[1]!s_fa_grossprofitmargin($A12,S$1)</f>
        <v>22.137699999999999</v>
      </c>
      <c r="T12" s="3">
        <f>[1]!s_fa_grossprofitmargin($A12,T$1)</f>
        <v>22.165400000000002</v>
      </c>
      <c r="U12" s="3">
        <f>[1]!s_fa_grossprofitmargin($A12,U$1)</f>
        <v>22.380400000000002</v>
      </c>
      <c r="V12" s="3">
        <f>[1]!s_fa_grossprofitmargin($A12,V$1)</f>
        <v>22.362500000000001</v>
      </c>
      <c r="W12" s="3">
        <f>[1]!s_fa_grossprofitmargin($A12,W$1)</f>
        <v>22.437200000000001</v>
      </c>
      <c r="X12" s="3">
        <f>[1]!s_fa_grossprofitmargin($A12,X$1)</f>
        <v>22.065799999999999</v>
      </c>
      <c r="Y12" s="3">
        <f>[1]!s_fa_grossprofitmargin($A12,Y$1)</f>
        <v>21.337599999999998</v>
      </c>
    </row>
    <row r="13" spans="1:25">
      <c r="A13" s="8" t="s">
        <v>11</v>
      </c>
      <c r="B13" s="1" t="s">
        <v>54</v>
      </c>
      <c r="C13" s="3">
        <f ca="1">[1]!s_fa_grossprofitmargin($A13,C$1)</f>
        <v>21.936399999999999</v>
      </c>
      <c r="D13" s="3">
        <f>[1]!s_fa_grossprofitmargin($A13,D$1)</f>
        <v>21.936399999999999</v>
      </c>
      <c r="E13" s="3">
        <f>[1]!s_fa_grossprofitmargin($A13,E$1)</f>
        <v>22.879300000000001</v>
      </c>
      <c r="F13" s="3">
        <f>[1]!s_fa_grossprofitmargin($A13,F$1)</f>
        <v>20.458300000000001</v>
      </c>
      <c r="G13" s="3">
        <f>[1]!s_fa_grossprofitmargin($A13,G$1)</f>
        <v>19.066500000000001</v>
      </c>
      <c r="H13" s="3">
        <f>[1]!s_fa_grossprofitmargin($A13,H$1)</f>
        <v>18.7408</v>
      </c>
      <c r="I13" s="3">
        <f>[1]!s_fa_grossprofitmargin($A13,I$1)</f>
        <v>18.553799999999999</v>
      </c>
      <c r="J13" s="3">
        <f>[1]!s_fa_grossprofitmargin($A13,J$1)</f>
        <v>17.417400000000001</v>
      </c>
      <c r="K13" s="3">
        <f>[1]!s_fa_grossprofitmargin($A13,K$1)</f>
        <v>16.8491</v>
      </c>
      <c r="L13" s="3">
        <f>[1]!s_fa_grossprofitmargin($A13,L$1)</f>
        <v>16.656400000000001</v>
      </c>
      <c r="M13" s="3">
        <f>[1]!s_fa_grossprofitmargin($A13,M$1)</f>
        <v>15.9221</v>
      </c>
      <c r="N13" s="3">
        <f>[1]!s_fa_grossprofitmargin($A13,N$1)</f>
        <v>16.3461</v>
      </c>
      <c r="O13" s="3">
        <f>[1]!s_fa_grossprofitmargin($A13,O$1)</f>
        <v>16.555299999999999</v>
      </c>
      <c r="P13" s="3">
        <f>[1]!s_fa_grossprofitmargin($A13,P$1)</f>
        <v>16.367599999999999</v>
      </c>
      <c r="Q13" s="3">
        <f>[1]!s_fa_grossprofitmargin($A13,Q$1)</f>
        <v>16.7454</v>
      </c>
      <c r="R13" s="3">
        <f>[1]!s_fa_grossprofitmargin($A13,R$1)</f>
        <v>17.271100000000001</v>
      </c>
      <c r="S13" s="3">
        <f>[1]!s_fa_grossprofitmargin($A13,S$1)</f>
        <v>17.6401</v>
      </c>
      <c r="T13" s="3">
        <f>[1]!s_fa_grossprofitmargin($A13,T$1)</f>
        <v>17.915199999999999</v>
      </c>
      <c r="U13" s="3">
        <f>[1]!s_fa_grossprofitmargin($A13,U$1)</f>
        <v>17.559899999999999</v>
      </c>
      <c r="V13" s="3">
        <f>[1]!s_fa_grossprofitmargin($A13,V$1)</f>
        <v>16.767199999999999</v>
      </c>
      <c r="W13" s="3">
        <f>[1]!s_fa_grossprofitmargin($A13,W$1)</f>
        <v>16.864599999999999</v>
      </c>
      <c r="X13" s="3">
        <f>[1]!s_fa_grossprofitmargin($A13,X$1)</f>
        <v>16.810300000000002</v>
      </c>
      <c r="Y13" s="3">
        <f>[1]!s_fa_grossprofitmargin($A13,Y$1)</f>
        <v>16.732500000000002</v>
      </c>
    </row>
    <row r="14" spans="1:25">
      <c r="A14" s="8" t="s">
        <v>12</v>
      </c>
      <c r="B14" s="1" t="s">
        <v>55</v>
      </c>
      <c r="C14" s="3">
        <f ca="1">[1]!s_fa_grossprofitmargin($A14,C$1)</f>
        <v>13.3727</v>
      </c>
      <c r="D14" s="3">
        <f>[1]!s_fa_grossprofitmargin($A14,D$1)</f>
        <v>13.3727</v>
      </c>
      <c r="E14" s="3">
        <f>[1]!s_fa_grossprofitmargin($A14,E$1)</f>
        <v>13.2036</v>
      </c>
      <c r="F14" s="3">
        <f>[1]!s_fa_grossprofitmargin($A14,F$1)</f>
        <v>13.6372</v>
      </c>
      <c r="G14" s="3">
        <f>[1]!s_fa_grossprofitmargin($A14,G$1)</f>
        <v>13.611499999999999</v>
      </c>
      <c r="H14" s="3">
        <f>[1]!s_fa_grossprofitmargin($A14,H$1)</f>
        <v>13.452</v>
      </c>
      <c r="I14" s="3">
        <f>[1]!s_fa_grossprofitmargin($A14,I$1)</f>
        <v>13.686299999999999</v>
      </c>
      <c r="J14" s="3">
        <f>[1]!s_fa_grossprofitmargin($A14,J$1)</f>
        <v>14.546799999999999</v>
      </c>
      <c r="K14" s="3">
        <f>[1]!s_fa_grossprofitmargin($A14,K$1)</f>
        <v>14.9504</v>
      </c>
      <c r="L14" s="3">
        <f>[1]!s_fa_grossprofitmargin($A14,L$1)</f>
        <v>15.0627</v>
      </c>
      <c r="M14" s="3">
        <f>[1]!s_fa_grossprofitmargin($A14,M$1)</f>
        <v>15.170299999999999</v>
      </c>
      <c r="N14" s="3">
        <f>[1]!s_fa_grossprofitmargin($A14,N$1)</f>
        <v>15.4758</v>
      </c>
      <c r="O14" s="3">
        <f>[1]!s_fa_grossprofitmargin($A14,O$1)</f>
        <v>15.548400000000001</v>
      </c>
      <c r="P14" s="3">
        <f>[1]!s_fa_grossprofitmargin($A14,P$1)</f>
        <v>15.44</v>
      </c>
      <c r="Q14" s="3">
        <f>[1]!s_fa_grossprofitmargin($A14,Q$1)</f>
        <v>15.5764</v>
      </c>
      <c r="R14" s="3">
        <f>[1]!s_fa_grossprofitmargin($A14,R$1)</f>
        <v>14.4526</v>
      </c>
      <c r="S14" s="3">
        <f>[1]!s_fa_grossprofitmargin($A14,S$1)</f>
        <v>14.3142</v>
      </c>
      <c r="T14" s="3">
        <f>[1]!s_fa_grossprofitmargin($A14,T$1)</f>
        <v>14.2186</v>
      </c>
      <c r="U14" s="3">
        <f>[1]!s_fa_grossprofitmargin($A14,U$1)</f>
        <v>14.526</v>
      </c>
      <c r="V14" s="3">
        <f>[1]!s_fa_grossprofitmargin($A14,V$1)</f>
        <v>14.4352</v>
      </c>
      <c r="W14" s="3">
        <f>[1]!s_fa_grossprofitmargin($A14,W$1)</f>
        <v>14.372999999999999</v>
      </c>
      <c r="X14" s="3">
        <f>[1]!s_fa_grossprofitmargin($A14,X$1)</f>
        <v>14.2661</v>
      </c>
      <c r="Y14" s="3">
        <f>[1]!s_fa_grossprofitmargin($A14,Y$1)</f>
        <v>14.3817</v>
      </c>
    </row>
    <row r="15" spans="1:25">
      <c r="A15" s="8" t="s">
        <v>13</v>
      </c>
      <c r="B15" s="1" t="s">
        <v>56</v>
      </c>
      <c r="C15" s="3">
        <f ca="1">[1]!s_fa_grossprofitmargin($A15,C$1)</f>
        <v>11.7582</v>
      </c>
      <c r="D15" s="3">
        <f>[1]!s_fa_grossprofitmargin($A15,D$1)</f>
        <v>11.7582</v>
      </c>
      <c r="E15" s="3">
        <f>[1]!s_fa_grossprofitmargin($A15,E$1)</f>
        <v>13.595800000000001</v>
      </c>
      <c r="F15" s="3">
        <f>[1]!s_fa_grossprofitmargin($A15,F$1)</f>
        <v>12.9062</v>
      </c>
      <c r="G15" s="3">
        <f>[1]!s_fa_grossprofitmargin($A15,G$1)</f>
        <v>14.045</v>
      </c>
      <c r="H15" s="3">
        <f>[1]!s_fa_grossprofitmargin($A15,H$1)</f>
        <v>14.322900000000001</v>
      </c>
      <c r="I15" s="3">
        <f>[1]!s_fa_grossprofitmargin($A15,I$1)</f>
        <v>14.7925</v>
      </c>
      <c r="J15" s="3">
        <f>[1]!s_fa_grossprofitmargin($A15,J$1)</f>
        <v>14.8666</v>
      </c>
      <c r="K15" s="3">
        <f>[1]!s_fa_grossprofitmargin($A15,K$1)</f>
        <v>14.128299999999999</v>
      </c>
      <c r="L15" s="3">
        <f>[1]!s_fa_grossprofitmargin($A15,L$1)</f>
        <v>16.2303</v>
      </c>
      <c r="M15" s="3">
        <f>[1]!s_fa_grossprofitmargin($A15,M$1)</f>
        <v>16.877300000000002</v>
      </c>
      <c r="N15" s="3">
        <f>[1]!s_fa_grossprofitmargin($A15,N$1)</f>
        <v>16.1403</v>
      </c>
      <c r="O15" s="3">
        <f>[1]!s_fa_grossprofitmargin($A15,O$1)</f>
        <v>15.930899999999999</v>
      </c>
      <c r="P15" s="3">
        <f>[1]!s_fa_grossprofitmargin($A15,P$1)</f>
        <v>16.195900000000002</v>
      </c>
      <c r="Q15" s="3">
        <f>[1]!s_fa_grossprofitmargin($A15,Q$1)</f>
        <v>16.999500000000001</v>
      </c>
      <c r="R15" s="3">
        <f>[1]!s_fa_grossprofitmargin($A15,R$1)</f>
        <v>15.190099999999999</v>
      </c>
      <c r="S15" s="3">
        <f>[1]!s_fa_grossprofitmargin($A15,S$1)</f>
        <v>15.0745</v>
      </c>
      <c r="T15" s="3">
        <f>[1]!s_fa_grossprofitmargin($A15,T$1)</f>
        <v>14.9162</v>
      </c>
      <c r="U15" s="3">
        <f>[1]!s_fa_grossprofitmargin($A15,U$1)</f>
        <v>15.3508</v>
      </c>
      <c r="V15" s="3">
        <f>[1]!s_fa_grossprofitmargin($A15,V$1)</f>
        <v>15.394600000000001</v>
      </c>
      <c r="W15" s="3">
        <f>[1]!s_fa_grossprofitmargin($A15,W$1)</f>
        <v>15.553800000000001</v>
      </c>
      <c r="X15" s="3">
        <f>[1]!s_fa_grossprofitmargin($A15,X$1)</f>
        <v>15.712400000000001</v>
      </c>
      <c r="Y15" s="3">
        <f>[1]!s_fa_grossprofitmargin($A15,Y$1)</f>
        <v>16.081099999999999</v>
      </c>
    </row>
    <row r="16" spans="1:25">
      <c r="A16" s="8" t="s">
        <v>14</v>
      </c>
      <c r="B16" s="1" t="s">
        <v>57</v>
      </c>
      <c r="C16" s="3">
        <f ca="1">[1]!s_fa_grossprofitmargin($A16,C$1)</f>
        <v>33.423900000000003</v>
      </c>
      <c r="D16" s="3">
        <f>[1]!s_fa_grossprofitmargin($A16,D$1)</f>
        <v>33.423900000000003</v>
      </c>
      <c r="E16" s="3">
        <f>[1]!s_fa_grossprofitmargin($A16,E$1)</f>
        <v>33.665999999999997</v>
      </c>
      <c r="F16" s="3">
        <f>[1]!s_fa_grossprofitmargin($A16,F$1)</f>
        <v>33.572699999999998</v>
      </c>
      <c r="G16" s="3">
        <f>[1]!s_fa_grossprofitmargin($A16,G$1)</f>
        <v>33.123100000000001</v>
      </c>
      <c r="H16" s="3">
        <f>[1]!s_fa_grossprofitmargin($A16,H$1)</f>
        <v>29.222100000000001</v>
      </c>
      <c r="I16" s="3">
        <f>[1]!s_fa_grossprofitmargin($A16,I$1)</f>
        <v>27.509399999999999</v>
      </c>
      <c r="J16" s="3">
        <f>[1]!s_fa_grossprofitmargin($A16,J$1)</f>
        <v>43.318100000000001</v>
      </c>
      <c r="K16" s="3">
        <f>[1]!s_fa_grossprofitmargin($A16,K$1)</f>
        <v>46.481400000000001</v>
      </c>
      <c r="L16" s="3">
        <f>[1]!s_fa_grossprofitmargin($A16,L$1)</f>
        <v>46.990099999999998</v>
      </c>
      <c r="M16" s="3">
        <f>[1]!s_fa_grossprofitmargin($A16,M$1)</f>
        <v>46.641100000000002</v>
      </c>
      <c r="N16" s="3">
        <f>[1]!s_fa_grossprofitmargin($A16,N$1)</f>
        <v>42.945599999999999</v>
      </c>
      <c r="O16" s="3">
        <f>[1]!s_fa_grossprofitmargin($A16,O$1)</f>
        <v>43.133200000000002</v>
      </c>
      <c r="P16" s="3">
        <f>[1]!s_fa_grossprofitmargin($A16,P$1)</f>
        <v>43.209299999999999</v>
      </c>
      <c r="Q16" s="3">
        <f>[1]!s_fa_grossprofitmargin($A16,Q$1)</f>
        <v>42.290199999999999</v>
      </c>
      <c r="R16" s="3">
        <f>[1]!s_fa_grossprofitmargin($A16,R$1)</f>
        <v>40.291600000000003</v>
      </c>
      <c r="S16" s="3">
        <f>[1]!s_fa_grossprofitmargin($A16,S$1)</f>
        <v>40.336599999999997</v>
      </c>
      <c r="T16" s="3">
        <f>[1]!s_fa_grossprofitmargin($A16,T$1)</f>
        <v>41.420999999999999</v>
      </c>
      <c r="U16" s="3">
        <f>[1]!s_fa_grossprofitmargin($A16,U$1)</f>
        <v>41.226500000000001</v>
      </c>
      <c r="V16" s="3">
        <f>[1]!s_fa_grossprofitmargin($A16,V$1)</f>
        <v>39.903799999999997</v>
      </c>
      <c r="W16" s="3">
        <f>[1]!s_fa_grossprofitmargin($A16,W$1)</f>
        <v>39.1432</v>
      </c>
      <c r="X16" s="3">
        <f>[1]!s_fa_grossprofitmargin($A16,X$1)</f>
        <v>38.717500000000001</v>
      </c>
      <c r="Y16" s="3">
        <f>[1]!s_fa_grossprofitmargin($A16,Y$1)</f>
        <v>35.024000000000001</v>
      </c>
    </row>
    <row r="17" spans="1:25">
      <c r="A17" s="8" t="s">
        <v>15</v>
      </c>
      <c r="B17" s="1" t="s">
        <v>58</v>
      </c>
      <c r="C17" s="3">
        <f ca="1">[1]!s_fa_grossprofitmargin($A17,C$1)</f>
        <v>22.7318</v>
      </c>
      <c r="D17" s="3">
        <f>[1]!s_fa_grossprofitmargin($A17,D$1)</f>
        <v>22.7318</v>
      </c>
      <c r="E17" s="3">
        <f>[1]!s_fa_grossprofitmargin($A17,E$1)</f>
        <v>22.3552</v>
      </c>
      <c r="F17" s="3">
        <f>[1]!s_fa_grossprofitmargin($A17,F$1)</f>
        <v>23.944700000000001</v>
      </c>
      <c r="G17" s="3">
        <f>[1]!s_fa_grossprofitmargin($A17,G$1)</f>
        <v>23.547599999999999</v>
      </c>
      <c r="H17" s="3">
        <f>[1]!s_fa_grossprofitmargin($A17,H$1)</f>
        <v>23.3066</v>
      </c>
      <c r="I17" s="3">
        <f>[1]!s_fa_grossprofitmargin($A17,I$1)</f>
        <v>22.213999999999999</v>
      </c>
      <c r="J17" s="3">
        <f>[1]!s_fa_grossprofitmargin($A17,J$1)</f>
        <v>25.321899999999999</v>
      </c>
      <c r="K17" s="3">
        <f>[1]!s_fa_grossprofitmargin($A17,K$1)</f>
        <v>25.7041</v>
      </c>
      <c r="L17" s="3">
        <f>[1]!s_fa_grossprofitmargin($A17,L$1)</f>
        <v>25.960599999999999</v>
      </c>
      <c r="M17" s="3">
        <f>[1]!s_fa_grossprofitmargin($A17,M$1)</f>
        <v>24.825700000000001</v>
      </c>
      <c r="N17" s="3">
        <f>[1]!s_fa_grossprofitmargin($A17,N$1)</f>
        <v>24.263400000000001</v>
      </c>
      <c r="O17" s="3">
        <f>[1]!s_fa_grossprofitmargin($A17,O$1)</f>
        <v>24.192499999999999</v>
      </c>
      <c r="P17" s="3">
        <f>[1]!s_fa_grossprofitmargin($A17,P$1)</f>
        <v>24.220099999999999</v>
      </c>
      <c r="Q17" s="3">
        <f>[1]!s_fa_grossprofitmargin($A17,Q$1)</f>
        <v>23.8383</v>
      </c>
      <c r="R17" s="3">
        <f>[1]!s_fa_grossprofitmargin($A17,R$1)</f>
        <v>24.533799999999999</v>
      </c>
      <c r="S17" s="3">
        <f>[1]!s_fa_grossprofitmargin($A17,S$1)</f>
        <v>24.482199999999999</v>
      </c>
      <c r="T17" s="3">
        <f>[1]!s_fa_grossprofitmargin($A17,T$1)</f>
        <v>24.796800000000001</v>
      </c>
      <c r="U17" s="3">
        <f>[1]!s_fa_grossprofitmargin($A17,U$1)</f>
        <v>24.970099999999999</v>
      </c>
      <c r="V17" s="3">
        <f>[1]!s_fa_grossprofitmargin($A17,V$1)</f>
        <v>25.218499999999999</v>
      </c>
      <c r="W17" s="3">
        <f>[1]!s_fa_grossprofitmargin($A17,W$1)</f>
        <v>25.280200000000001</v>
      </c>
      <c r="X17" s="3">
        <f>[1]!s_fa_grossprofitmargin($A17,X$1)</f>
        <v>25.631399999999999</v>
      </c>
      <c r="Y17" s="3">
        <f>[1]!s_fa_grossprofitmargin($A17,Y$1)</f>
        <v>25.360800000000001</v>
      </c>
    </row>
    <row r="18" spans="1:25">
      <c r="A18" s="8" t="s">
        <v>16</v>
      </c>
      <c r="B18" s="1" t="s">
        <v>59</v>
      </c>
      <c r="C18" s="3">
        <f ca="1">[1]!s_fa_grossprofitmargin($A18,C$1)</f>
        <v>25.120699999999999</v>
      </c>
      <c r="D18" s="3">
        <f>[1]!s_fa_grossprofitmargin($A18,D$1)</f>
        <v>25.120699999999999</v>
      </c>
      <c r="E18" s="3">
        <f>[1]!s_fa_grossprofitmargin($A18,E$1)</f>
        <v>25.247499999999999</v>
      </c>
      <c r="F18" s="3">
        <f>[1]!s_fa_grossprofitmargin($A18,F$1)</f>
        <v>23.858699999999999</v>
      </c>
      <c r="G18" s="3">
        <f>[1]!s_fa_grossprofitmargin($A18,G$1)</f>
        <v>23.687200000000001</v>
      </c>
      <c r="H18" s="3">
        <f>[1]!s_fa_grossprofitmargin($A18,H$1)</f>
        <v>25.073399999999999</v>
      </c>
      <c r="I18" s="3">
        <f>[1]!s_fa_grossprofitmargin($A18,I$1)</f>
        <v>25.525700000000001</v>
      </c>
      <c r="J18" s="3">
        <f>[1]!s_fa_grossprofitmargin($A18,J$1)</f>
        <v>26.689399999999999</v>
      </c>
      <c r="K18" s="3">
        <f>[1]!s_fa_grossprofitmargin($A18,K$1)</f>
        <v>31.4696</v>
      </c>
      <c r="L18" s="3">
        <f>[1]!s_fa_grossprofitmargin($A18,L$1)</f>
        <v>30.750599999999999</v>
      </c>
      <c r="M18" s="3">
        <f>[1]!s_fa_grossprofitmargin($A18,M$1)</f>
        <v>30.797999999999998</v>
      </c>
      <c r="N18" s="3">
        <f>[1]!s_fa_grossprofitmargin($A18,N$1)</f>
        <v>29.854900000000001</v>
      </c>
      <c r="O18" s="3">
        <f>[1]!s_fa_grossprofitmargin($A18,O$1)</f>
        <v>29.403500000000001</v>
      </c>
      <c r="P18" s="3">
        <f>[1]!s_fa_grossprofitmargin($A18,P$1)</f>
        <v>29.03</v>
      </c>
      <c r="Q18" s="3">
        <f>[1]!s_fa_grossprofitmargin($A18,Q$1)</f>
        <v>29.576699999999999</v>
      </c>
      <c r="R18" s="3">
        <f>[1]!s_fa_grossprofitmargin($A18,R$1)</f>
        <v>29.834</v>
      </c>
      <c r="S18" s="3">
        <f>[1]!s_fa_grossprofitmargin($A18,S$1)</f>
        <v>28.838799999999999</v>
      </c>
      <c r="T18" s="3">
        <f>[1]!s_fa_grossprofitmargin($A18,T$1)</f>
        <v>30.553999999999998</v>
      </c>
      <c r="U18" s="3">
        <f>[1]!s_fa_grossprofitmargin($A18,U$1)</f>
        <v>32.267800000000001</v>
      </c>
      <c r="V18" s="3">
        <f>[1]!s_fa_grossprofitmargin($A18,V$1)</f>
        <v>28.522400000000001</v>
      </c>
      <c r="W18" s="3">
        <f>[1]!s_fa_grossprofitmargin($A18,W$1)</f>
        <v>28.761800000000001</v>
      </c>
      <c r="X18" s="3">
        <f>[1]!s_fa_grossprofitmargin($A18,X$1)</f>
        <v>29.259799999999998</v>
      </c>
      <c r="Y18" s="3">
        <f>[1]!s_fa_grossprofitmargin($A18,Y$1)</f>
        <v>31.212700000000002</v>
      </c>
    </row>
    <row r="19" spans="1:25">
      <c r="A19" s="8" t="s">
        <v>17</v>
      </c>
      <c r="B19" s="1" t="s">
        <v>60</v>
      </c>
      <c r="C19" s="3">
        <f ca="1">[1]!s_fa_grossprofitmargin($A19,C$1)</f>
        <v>35.4345</v>
      </c>
      <c r="D19" s="3">
        <f>[1]!s_fa_grossprofitmargin($A19,D$1)</f>
        <v>35.4345</v>
      </c>
      <c r="E19" s="3">
        <f>[1]!s_fa_grossprofitmargin($A19,E$1)</f>
        <v>35.164299999999997</v>
      </c>
      <c r="F19" s="3">
        <f>[1]!s_fa_grossprofitmargin($A19,F$1)</f>
        <v>34.886200000000002</v>
      </c>
      <c r="G19" s="3">
        <f>[1]!s_fa_grossprofitmargin($A19,G$1)</f>
        <v>35.017400000000002</v>
      </c>
      <c r="H19" s="3">
        <f>[1]!s_fa_grossprofitmargin($A19,H$1)</f>
        <v>34.635899999999999</v>
      </c>
      <c r="I19" s="3">
        <f>[1]!s_fa_grossprofitmargin($A19,I$1)</f>
        <v>33.0884</v>
      </c>
      <c r="J19" s="3">
        <f>[1]!s_fa_grossprofitmargin($A19,J$1)</f>
        <v>34.253799999999998</v>
      </c>
      <c r="K19" s="3">
        <f>[1]!s_fa_grossprofitmargin($A19,K$1)</f>
        <v>34.390799999999999</v>
      </c>
      <c r="L19" s="3">
        <f>[1]!s_fa_grossprofitmargin($A19,L$1)</f>
        <v>34.164099999999998</v>
      </c>
      <c r="M19" s="3">
        <f>[1]!s_fa_grossprofitmargin($A19,M$1)</f>
        <v>33.746099999999998</v>
      </c>
      <c r="N19" s="3">
        <f>[1]!s_fa_grossprofitmargin($A19,N$1)</f>
        <v>34.947299999999998</v>
      </c>
      <c r="O19" s="3">
        <f>[1]!s_fa_grossprofitmargin($A19,O$1)</f>
        <v>34.6083</v>
      </c>
      <c r="P19" s="3">
        <f>[1]!s_fa_grossprofitmargin($A19,P$1)</f>
        <v>34.890300000000003</v>
      </c>
      <c r="Q19" s="3">
        <f>[1]!s_fa_grossprofitmargin($A19,Q$1)</f>
        <v>35.392800000000001</v>
      </c>
      <c r="R19" s="3">
        <f>[1]!s_fa_grossprofitmargin($A19,R$1)</f>
        <v>33.528700000000001</v>
      </c>
      <c r="S19" s="3">
        <f>[1]!s_fa_grossprofitmargin($A19,S$1)</f>
        <v>32.307699999999997</v>
      </c>
      <c r="T19" s="3">
        <f>[1]!s_fa_grossprofitmargin($A19,T$1)</f>
        <v>31.7211</v>
      </c>
      <c r="U19" s="3">
        <f>[1]!s_fa_grossprofitmargin($A19,U$1)</f>
        <v>31.157900000000001</v>
      </c>
      <c r="V19" s="3">
        <f>[1]!s_fa_grossprofitmargin($A19,V$1)</f>
        <v>30.677299999999999</v>
      </c>
      <c r="W19" s="3">
        <f>[1]!s_fa_grossprofitmargin($A19,W$1)</f>
        <v>30.4695</v>
      </c>
      <c r="X19" s="3">
        <f>[1]!s_fa_grossprofitmargin($A19,X$1)</f>
        <v>30.404499999999999</v>
      </c>
      <c r="Y19" s="3">
        <f>[1]!s_fa_grossprofitmargin($A19,Y$1)</f>
        <v>27.5717</v>
      </c>
    </row>
    <row r="20" spans="1:25">
      <c r="A20" s="8" t="s">
        <v>18</v>
      </c>
      <c r="B20" s="1" t="s">
        <v>61</v>
      </c>
      <c r="C20" s="3">
        <f ca="1">[1]!s_fa_grossprofitmargin($A20,C$1)</f>
        <v>47.476500000000001</v>
      </c>
      <c r="D20" s="3">
        <f>[1]!s_fa_grossprofitmargin($A20,D$1)</f>
        <v>47.476500000000001</v>
      </c>
      <c r="E20" s="3">
        <f>[1]!s_fa_grossprofitmargin($A20,E$1)</f>
        <v>49.368899999999996</v>
      </c>
      <c r="F20" s="3">
        <f>[1]!s_fa_grossprofitmargin($A20,F$1)</f>
        <v>45.605800000000002</v>
      </c>
      <c r="G20" s="3">
        <f>[1]!s_fa_grossprofitmargin($A20,G$1)</f>
        <v>46.578699999999998</v>
      </c>
      <c r="H20" s="3">
        <f>[1]!s_fa_grossprofitmargin($A20,H$1)</f>
        <v>46.800699999999999</v>
      </c>
      <c r="I20" s="3">
        <f>[1]!s_fa_grossprofitmargin($A20,I$1)</f>
        <v>49.482999999999997</v>
      </c>
      <c r="J20" s="3">
        <f>[1]!s_fa_grossprofitmargin($A20,J$1)</f>
        <v>47.623699999999999</v>
      </c>
      <c r="K20" s="3">
        <f>[1]!s_fa_grossprofitmargin($A20,K$1)</f>
        <v>46.552700000000002</v>
      </c>
      <c r="L20" s="3">
        <f>[1]!s_fa_grossprofitmargin($A20,L$1)</f>
        <v>47.338799999999999</v>
      </c>
      <c r="M20" s="3">
        <f>[1]!s_fa_grossprofitmargin($A20,M$1)</f>
        <v>49.849499999999999</v>
      </c>
      <c r="N20" s="3">
        <f>[1]!s_fa_grossprofitmargin($A20,N$1)</f>
        <v>46.43</v>
      </c>
      <c r="O20" s="3">
        <f>[1]!s_fa_grossprofitmargin($A20,O$1)</f>
        <v>47.037599999999998</v>
      </c>
      <c r="P20" s="3">
        <f>[1]!s_fa_grossprofitmargin($A20,P$1)</f>
        <v>47.302700000000002</v>
      </c>
      <c r="Q20" s="3">
        <f>[1]!s_fa_grossprofitmargin($A20,Q$1)</f>
        <v>49.284300000000002</v>
      </c>
      <c r="R20" s="3">
        <f>[1]!s_fa_grossprofitmargin($A20,R$1)</f>
        <v>44.899099999999997</v>
      </c>
      <c r="S20" s="3">
        <f>[1]!s_fa_grossprofitmargin($A20,S$1)</f>
        <v>45.243400000000001</v>
      </c>
      <c r="T20" s="3">
        <f>[1]!s_fa_grossprofitmargin($A20,T$1)</f>
        <v>44.711799999999997</v>
      </c>
      <c r="U20" s="3">
        <f>[1]!s_fa_grossprofitmargin($A20,U$1)</f>
        <v>46.054600000000001</v>
      </c>
      <c r="V20" s="3">
        <f>[1]!s_fa_grossprofitmargin($A20,V$1)</f>
        <v>43.370399999999997</v>
      </c>
      <c r="W20" s="3">
        <f>[1]!s_fa_grossprofitmargin($A20,W$1)</f>
        <v>43.636600000000001</v>
      </c>
      <c r="X20" s="3">
        <f>[1]!s_fa_grossprofitmargin($A20,X$1)</f>
        <v>43.9998</v>
      </c>
      <c r="Y20" s="3">
        <f>[1]!s_fa_grossprofitmargin($A20,Y$1)</f>
        <v>44.416899999999998</v>
      </c>
    </row>
    <row r="21" spans="1:25">
      <c r="A21" s="8" t="s">
        <v>19</v>
      </c>
      <c r="B21" s="1" t="s">
        <v>62</v>
      </c>
      <c r="C21" s="3">
        <f ca="1">[1]!s_fa_grossprofitmargin($A21,C$1)</f>
        <v>12.7967</v>
      </c>
      <c r="D21" s="3">
        <f>[1]!s_fa_grossprofitmargin($A21,D$1)</f>
        <v>12.7967</v>
      </c>
      <c r="E21" s="3">
        <f>[1]!s_fa_grossprofitmargin($A21,E$1)</f>
        <v>17.0823</v>
      </c>
      <c r="F21" s="3">
        <f>[1]!s_fa_grossprofitmargin($A21,F$1)</f>
        <v>19.816800000000001</v>
      </c>
      <c r="G21" s="3">
        <f>[1]!s_fa_grossprofitmargin($A21,G$1)</f>
        <v>21.561699999999998</v>
      </c>
      <c r="H21" s="3">
        <f>[1]!s_fa_grossprofitmargin($A21,H$1)</f>
        <v>21.100200000000001</v>
      </c>
      <c r="I21" s="3">
        <f>[1]!s_fa_grossprofitmargin($A21,I$1)</f>
        <v>21.315999999999999</v>
      </c>
      <c r="J21" s="3">
        <f>[1]!s_fa_grossprofitmargin($A21,J$1)</f>
        <v>18.957999999999998</v>
      </c>
      <c r="K21" s="3">
        <f>[1]!s_fa_grossprofitmargin($A21,K$1)</f>
        <v>16.732900000000001</v>
      </c>
      <c r="L21" s="3">
        <f>[1]!s_fa_grossprofitmargin($A21,L$1)</f>
        <v>14.725899999999999</v>
      </c>
      <c r="M21" s="3">
        <f>[1]!s_fa_grossprofitmargin($A21,M$1)</f>
        <v>13.137700000000001</v>
      </c>
      <c r="N21" s="3">
        <f>[1]!s_fa_grossprofitmargin($A21,N$1)</f>
        <v>15.3843</v>
      </c>
      <c r="O21" s="3">
        <f>[1]!s_fa_grossprofitmargin($A21,O$1)</f>
        <v>15.0374</v>
      </c>
      <c r="P21" s="3">
        <f>[1]!s_fa_grossprofitmargin($A21,P$1)</f>
        <v>14.260199999999999</v>
      </c>
      <c r="Q21" s="3">
        <f>[1]!s_fa_grossprofitmargin($A21,Q$1)</f>
        <v>16.1614</v>
      </c>
      <c r="R21" s="3">
        <f>[1]!s_fa_grossprofitmargin($A21,R$1)</f>
        <v>17.033000000000001</v>
      </c>
      <c r="S21" s="3">
        <f>[1]!s_fa_grossprofitmargin($A21,S$1)</f>
        <v>15.8066</v>
      </c>
      <c r="T21" s="3">
        <f>[1]!s_fa_grossprofitmargin($A21,T$1)</f>
        <v>15.423400000000001</v>
      </c>
      <c r="U21" s="3">
        <f>[1]!s_fa_grossprofitmargin($A21,U$1)</f>
        <v>16.4697</v>
      </c>
      <c r="V21" s="3">
        <f>[1]!s_fa_grossprofitmargin($A21,V$1)</f>
        <v>17.830200000000001</v>
      </c>
      <c r="W21" s="3">
        <f>[1]!s_fa_grossprofitmargin($A21,W$1)</f>
        <v>18.324999999999999</v>
      </c>
      <c r="X21" s="3">
        <f>[1]!s_fa_grossprofitmargin($A21,X$1)</f>
        <v>19.101900000000001</v>
      </c>
      <c r="Y21" s="3">
        <f>[1]!s_fa_grossprofitmargin($A21,Y$1)</f>
        <v>17.468599999999999</v>
      </c>
    </row>
    <row r="22" spans="1:25">
      <c r="A22" s="8" t="s">
        <v>20</v>
      </c>
      <c r="B22" s="1" t="s">
        <v>63</v>
      </c>
      <c r="C22" s="3" t="str">
        <f ca="1">[1]!s_fa_grossprofitmargin($A22,C$1)</f>
        <v>#N/A</v>
      </c>
      <c r="D22" s="3" t="str">
        <f>[1]!s_fa_grossprofitmargin($A22,D$1)</f>
        <v>#N/A</v>
      </c>
      <c r="E22" s="3" t="str">
        <f>[1]!s_fa_grossprofitmargin($A22,E$1)</f>
        <v>#N/A</v>
      </c>
      <c r="F22" s="3" t="str">
        <f>[1]!s_fa_grossprofitmargin($A22,F$1)</f>
        <v>#N/A</v>
      </c>
      <c r="G22" s="3" t="str">
        <f>[1]!s_fa_grossprofitmargin($A22,G$1)</f>
        <v>#N/A</v>
      </c>
      <c r="H22" s="3" t="str">
        <f>[1]!s_fa_grossprofitmargin($A22,H$1)</f>
        <v>#N/A</v>
      </c>
      <c r="I22" s="3" t="str">
        <f>[1]!s_fa_grossprofitmargin($A22,I$1)</f>
        <v>#N/A</v>
      </c>
      <c r="J22" s="3" t="str">
        <f>[1]!s_fa_grossprofitmargin($A22,J$1)</f>
        <v>#N/A</v>
      </c>
      <c r="K22" s="3" t="str">
        <f>[1]!s_fa_grossprofitmargin($A22,K$1)</f>
        <v>#N/A</v>
      </c>
      <c r="L22" s="3" t="str">
        <f>[1]!s_fa_grossprofitmargin($A22,L$1)</f>
        <v>#N/A</v>
      </c>
      <c r="M22" s="3" t="str">
        <f>[1]!s_fa_grossprofitmargin($A22,M$1)</f>
        <v>#N/A</v>
      </c>
      <c r="N22" s="3" t="str">
        <f>[1]!s_fa_grossprofitmargin($A22,N$1)</f>
        <v>#N/A</v>
      </c>
      <c r="O22" s="3" t="str">
        <f>[1]!s_fa_grossprofitmargin($A22,O$1)</f>
        <v>#N/A</v>
      </c>
      <c r="P22" s="3" t="str">
        <f>[1]!s_fa_grossprofitmargin($A22,P$1)</f>
        <v>#N/A</v>
      </c>
      <c r="Q22" s="3" t="str">
        <f>[1]!s_fa_grossprofitmargin($A22,Q$1)</f>
        <v>#N/A</v>
      </c>
      <c r="R22" s="3" t="str">
        <f>[1]!s_fa_grossprofitmargin($A22,R$1)</f>
        <v>#N/A</v>
      </c>
      <c r="S22" s="3" t="str">
        <f>[1]!s_fa_grossprofitmargin($A22,S$1)</f>
        <v>#N/A</v>
      </c>
      <c r="T22" s="3" t="str">
        <f>[1]!s_fa_grossprofitmargin($A22,T$1)</f>
        <v>#N/A</v>
      </c>
      <c r="U22" s="3" t="str">
        <f>[1]!s_fa_grossprofitmargin($A22,U$1)</f>
        <v>#N/A</v>
      </c>
      <c r="V22" s="3" t="str">
        <f>[1]!s_fa_grossprofitmargin($A22,V$1)</f>
        <v>#N/A</v>
      </c>
      <c r="W22" s="3" t="str">
        <f>[1]!s_fa_grossprofitmargin($A22,W$1)</f>
        <v>#N/A</v>
      </c>
      <c r="X22" s="3" t="str">
        <f>[1]!s_fa_grossprofitmargin($A22,X$1)</f>
        <v>#N/A</v>
      </c>
      <c r="Y22" s="3" t="str">
        <f>[1]!s_fa_grossprofitmargin($A22,Y$1)</f>
        <v>#N/A</v>
      </c>
    </row>
    <row r="23" spans="1:25">
      <c r="A23" s="8" t="s">
        <v>21</v>
      </c>
      <c r="B23" s="1" t="s">
        <v>64</v>
      </c>
      <c r="C23" s="3" t="str">
        <f ca="1">[1]!s_fa_grossprofitmargin($A23,C$1)</f>
        <v>#N/A</v>
      </c>
      <c r="D23" s="3" t="str">
        <f>[1]!s_fa_grossprofitmargin($A23,D$1)</f>
        <v>#N/A</v>
      </c>
      <c r="E23" s="3" t="str">
        <f>[1]!s_fa_grossprofitmargin($A23,E$1)</f>
        <v>#N/A</v>
      </c>
      <c r="F23" s="3" t="str">
        <f>[1]!s_fa_grossprofitmargin($A23,F$1)</f>
        <v>#N/A</v>
      </c>
      <c r="G23" s="3" t="str">
        <f>[1]!s_fa_grossprofitmargin($A23,G$1)</f>
        <v>#N/A</v>
      </c>
      <c r="H23" s="3" t="str">
        <f>[1]!s_fa_grossprofitmargin($A23,H$1)</f>
        <v>#N/A</v>
      </c>
      <c r="I23" s="3" t="str">
        <f>[1]!s_fa_grossprofitmargin($A23,I$1)</f>
        <v>#N/A</v>
      </c>
      <c r="J23" s="3" t="str">
        <f>[1]!s_fa_grossprofitmargin($A23,J$1)</f>
        <v>#N/A</v>
      </c>
      <c r="K23" s="3" t="str">
        <f>[1]!s_fa_grossprofitmargin($A23,K$1)</f>
        <v>#N/A</v>
      </c>
      <c r="L23" s="3" t="str">
        <f>[1]!s_fa_grossprofitmargin($A23,L$1)</f>
        <v>#N/A</v>
      </c>
      <c r="M23" s="3" t="str">
        <f>[1]!s_fa_grossprofitmargin($A23,M$1)</f>
        <v>#N/A</v>
      </c>
      <c r="N23" s="3" t="str">
        <f>[1]!s_fa_grossprofitmargin($A23,N$1)</f>
        <v>#N/A</v>
      </c>
      <c r="O23" s="3" t="str">
        <f>[1]!s_fa_grossprofitmargin($A23,O$1)</f>
        <v>#N/A</v>
      </c>
      <c r="P23" s="3" t="str">
        <f>[1]!s_fa_grossprofitmargin($A23,P$1)</f>
        <v>#N/A</v>
      </c>
      <c r="Q23" s="3" t="str">
        <f>[1]!s_fa_grossprofitmargin($A23,Q$1)</f>
        <v>#N/A</v>
      </c>
      <c r="R23" s="3" t="str">
        <f>[1]!s_fa_grossprofitmargin($A23,R$1)</f>
        <v>#N/A</v>
      </c>
      <c r="S23" s="3" t="str">
        <f>[1]!s_fa_grossprofitmargin($A23,S$1)</f>
        <v>#N/A</v>
      </c>
      <c r="T23" s="3" t="str">
        <f>[1]!s_fa_grossprofitmargin($A23,T$1)</f>
        <v>#N/A</v>
      </c>
      <c r="U23" s="3" t="str">
        <f>[1]!s_fa_grossprofitmargin($A23,U$1)</f>
        <v>#N/A</v>
      </c>
      <c r="V23" s="3" t="str">
        <f>[1]!s_fa_grossprofitmargin($A23,V$1)</f>
        <v>#N/A</v>
      </c>
      <c r="W23" s="3" t="str">
        <f>[1]!s_fa_grossprofitmargin($A23,W$1)</f>
        <v>#N/A</v>
      </c>
      <c r="X23" s="3" t="str">
        <f>[1]!s_fa_grossprofitmargin($A23,X$1)</f>
        <v>#N/A</v>
      </c>
      <c r="Y23" s="3" t="str">
        <f>[1]!s_fa_grossprofitmargin($A23,Y$1)</f>
        <v>#N/A</v>
      </c>
    </row>
    <row r="24" spans="1:25">
      <c r="A24" s="8" t="s">
        <v>22</v>
      </c>
      <c r="B24" s="1" t="s">
        <v>65</v>
      </c>
      <c r="C24" s="3">
        <f ca="1">[1]!s_fa_grossprofitmargin($A24,C$1)</f>
        <v>21.467700000000001</v>
      </c>
      <c r="D24" s="3">
        <f>[1]!s_fa_grossprofitmargin($A24,D$1)</f>
        <v>21.467700000000001</v>
      </c>
      <c r="E24" s="3">
        <f>[1]!s_fa_grossprofitmargin($A24,E$1)</f>
        <v>22.645700000000001</v>
      </c>
      <c r="F24" s="3">
        <f>[1]!s_fa_grossprofitmargin($A24,F$1)</f>
        <v>26.802499999999998</v>
      </c>
      <c r="G24" s="3">
        <f>[1]!s_fa_grossprofitmargin($A24,G$1)</f>
        <v>27.247499999999999</v>
      </c>
      <c r="H24" s="3">
        <f>[1]!s_fa_grossprofitmargin($A24,H$1)</f>
        <v>28.2821</v>
      </c>
      <c r="I24" s="3">
        <f>[1]!s_fa_grossprofitmargin($A24,I$1)</f>
        <v>29.795200000000001</v>
      </c>
      <c r="J24" s="3">
        <f>[1]!s_fa_grossprofitmargin($A24,J$1)</f>
        <v>31.217700000000001</v>
      </c>
      <c r="K24" s="3">
        <f>[1]!s_fa_grossprofitmargin($A24,K$1)</f>
        <v>31.4544</v>
      </c>
      <c r="L24" s="3">
        <f>[1]!s_fa_grossprofitmargin($A24,L$1)</f>
        <v>32.226700000000001</v>
      </c>
      <c r="M24" s="3">
        <f>[1]!s_fa_grossprofitmargin($A24,M$1)</f>
        <v>31.812999999999999</v>
      </c>
      <c r="N24" s="3">
        <f>[1]!s_fa_grossprofitmargin($A24,N$1)</f>
        <v>32.132199999999997</v>
      </c>
      <c r="O24" s="3">
        <f>[1]!s_fa_grossprofitmargin($A24,O$1)</f>
        <v>31.042300000000001</v>
      </c>
      <c r="P24" s="3">
        <f>[1]!s_fa_grossprofitmargin($A24,P$1)</f>
        <v>31.194400000000002</v>
      </c>
      <c r="Q24" s="3">
        <f>[1]!s_fa_grossprofitmargin($A24,Q$1)</f>
        <v>30.987300000000001</v>
      </c>
      <c r="R24" s="3">
        <f>[1]!s_fa_grossprofitmargin($A24,R$1)</f>
        <v>29.603200000000001</v>
      </c>
      <c r="S24" s="3">
        <f>[1]!s_fa_grossprofitmargin($A24,S$1)</f>
        <v>28.317399999999999</v>
      </c>
      <c r="T24" s="3">
        <f>[1]!s_fa_grossprofitmargin($A24,T$1)</f>
        <v>28.300999999999998</v>
      </c>
      <c r="U24" s="3">
        <f>[1]!s_fa_grossprofitmargin($A24,U$1)</f>
        <v>28.5349</v>
      </c>
      <c r="V24" s="3">
        <f>[1]!s_fa_grossprofitmargin($A24,V$1)</f>
        <v>27.4496</v>
      </c>
      <c r="W24" s="3">
        <f>[1]!s_fa_grossprofitmargin($A24,W$1)</f>
        <v>27.301300000000001</v>
      </c>
      <c r="X24" s="3">
        <f>[1]!s_fa_grossprofitmargin($A24,X$1)</f>
        <v>27.6554</v>
      </c>
      <c r="Y24" s="3">
        <f>[1]!s_fa_grossprofitmargin($A24,Y$1)</f>
        <v>29.504200000000001</v>
      </c>
    </row>
    <row r="25" spans="1:25">
      <c r="A25" s="8" t="s">
        <v>23</v>
      </c>
      <c r="B25" s="1" t="s">
        <v>66</v>
      </c>
      <c r="C25" s="3">
        <f ca="1">[1]!s_fa_grossprofitmargin($A25,C$1)</f>
        <v>11.0787</v>
      </c>
      <c r="D25" s="3">
        <f>[1]!s_fa_grossprofitmargin($A25,D$1)</f>
        <v>11.0787</v>
      </c>
      <c r="E25" s="3">
        <f>[1]!s_fa_grossprofitmargin($A25,E$1)</f>
        <v>9.74</v>
      </c>
      <c r="F25" s="3">
        <f>[1]!s_fa_grossprofitmargin($A25,F$1)</f>
        <v>8.3361999999999998</v>
      </c>
      <c r="G25" s="3">
        <f>[1]!s_fa_grossprofitmargin($A25,G$1)</f>
        <v>7.9250999999999996</v>
      </c>
      <c r="H25" s="3">
        <f>[1]!s_fa_grossprofitmargin($A25,H$1)</f>
        <v>6.7220000000000004</v>
      </c>
      <c r="I25" s="3">
        <f>[1]!s_fa_grossprofitmargin($A25,I$1)</f>
        <v>5.8849</v>
      </c>
      <c r="J25" s="3">
        <f>[1]!s_fa_grossprofitmargin($A25,J$1)</f>
        <v>12.100899999999999</v>
      </c>
      <c r="K25" s="3">
        <f>[1]!s_fa_grossprofitmargin($A25,K$1)</f>
        <v>12.9384</v>
      </c>
      <c r="L25" s="3">
        <f>[1]!s_fa_grossprofitmargin($A25,L$1)</f>
        <v>12.730600000000001</v>
      </c>
      <c r="M25" s="3">
        <f>[1]!s_fa_grossprofitmargin($A25,M$1)</f>
        <v>13.5474</v>
      </c>
      <c r="N25" s="3">
        <f>[1]!s_fa_grossprofitmargin($A25,N$1)</f>
        <v>12.206300000000001</v>
      </c>
      <c r="O25" s="3">
        <f>[1]!s_fa_grossprofitmargin($A25,O$1)</f>
        <v>12.5395</v>
      </c>
      <c r="P25" s="3">
        <f>[1]!s_fa_grossprofitmargin($A25,P$1)</f>
        <v>12.1602</v>
      </c>
      <c r="Q25" s="3">
        <f>[1]!s_fa_grossprofitmargin($A25,Q$1)</f>
        <v>12.913399999999999</v>
      </c>
      <c r="R25" s="3">
        <f>[1]!s_fa_grossprofitmargin($A25,R$1)</f>
        <v>12.516500000000001</v>
      </c>
      <c r="S25" s="3">
        <f>[1]!s_fa_grossprofitmargin($A25,S$1)</f>
        <v>13.4613</v>
      </c>
      <c r="T25" s="3">
        <f>[1]!s_fa_grossprofitmargin($A25,T$1)</f>
        <v>12.6515</v>
      </c>
      <c r="U25" s="3">
        <f>[1]!s_fa_grossprofitmargin($A25,U$1)</f>
        <v>13.4543</v>
      </c>
      <c r="V25" s="3">
        <f>[1]!s_fa_grossprofitmargin($A25,V$1)</f>
        <v>14.975300000000001</v>
      </c>
      <c r="W25" s="3">
        <f>[1]!s_fa_grossprofitmargin($A25,W$1)</f>
        <v>16.391300000000001</v>
      </c>
      <c r="X25" s="3">
        <f>[1]!s_fa_grossprofitmargin($A25,X$1)</f>
        <v>16.258500000000002</v>
      </c>
      <c r="Y25" s="3">
        <f>[1]!s_fa_grossprofitmargin($A25,Y$1)</f>
        <v>17.931799999999999</v>
      </c>
    </row>
    <row r="26" spans="1:25">
      <c r="A26" s="8" t="s">
        <v>24</v>
      </c>
      <c r="B26" s="1" t="s">
        <v>67</v>
      </c>
      <c r="C26" s="3">
        <f ca="1">[1]!s_fa_grossprofitmargin($A26,C$1)</f>
        <v>22.7896</v>
      </c>
      <c r="D26" s="3">
        <f>[1]!s_fa_grossprofitmargin($A26,D$1)</f>
        <v>22.7896</v>
      </c>
      <c r="E26" s="3">
        <f>[1]!s_fa_grossprofitmargin($A26,E$1)</f>
        <v>21.9451</v>
      </c>
      <c r="F26" s="3">
        <f>[1]!s_fa_grossprofitmargin($A26,F$1)</f>
        <v>20.677499999999998</v>
      </c>
      <c r="G26" s="3">
        <f>[1]!s_fa_grossprofitmargin($A26,G$1)</f>
        <v>20.7378</v>
      </c>
      <c r="H26" s="3">
        <f>[1]!s_fa_grossprofitmargin($A26,H$1)</f>
        <v>20.427600000000002</v>
      </c>
      <c r="I26" s="3">
        <f>[1]!s_fa_grossprofitmargin($A26,I$1)</f>
        <v>19.1845</v>
      </c>
      <c r="J26" s="3">
        <f>[1]!s_fa_grossprofitmargin($A26,J$1)</f>
        <v>19.651800000000001</v>
      </c>
      <c r="K26" s="3">
        <f>[1]!s_fa_grossprofitmargin($A26,K$1)</f>
        <v>19.478200000000001</v>
      </c>
      <c r="L26" s="3">
        <f>[1]!s_fa_grossprofitmargin($A26,L$1)</f>
        <v>19.2576</v>
      </c>
      <c r="M26" s="3">
        <f>[1]!s_fa_grossprofitmargin($A26,M$1)</f>
        <v>18.846</v>
      </c>
      <c r="N26" s="3">
        <f>[1]!s_fa_grossprofitmargin($A26,N$1)</f>
        <v>20.630199999999999</v>
      </c>
      <c r="O26" s="3">
        <f>[1]!s_fa_grossprofitmargin($A26,O$1)</f>
        <v>20.542400000000001</v>
      </c>
      <c r="P26" s="3">
        <f>[1]!s_fa_grossprofitmargin($A26,P$1)</f>
        <v>20.566800000000001</v>
      </c>
      <c r="Q26" s="3">
        <f>[1]!s_fa_grossprofitmargin($A26,Q$1)</f>
        <v>20.764199999999999</v>
      </c>
      <c r="R26" s="3">
        <f>[1]!s_fa_grossprofitmargin($A26,R$1)</f>
        <v>21.575900000000001</v>
      </c>
      <c r="S26" s="3">
        <f>[1]!s_fa_grossprofitmargin($A26,S$1)</f>
        <v>21.364899999999999</v>
      </c>
      <c r="T26" s="3">
        <f>[1]!s_fa_grossprofitmargin($A26,T$1)</f>
        <v>21.293900000000001</v>
      </c>
      <c r="U26" s="3">
        <f>[1]!s_fa_grossprofitmargin($A26,U$1)</f>
        <v>20.7117</v>
      </c>
      <c r="V26" s="3">
        <f>[1]!s_fa_grossprofitmargin($A26,V$1)</f>
        <v>20.2896</v>
      </c>
      <c r="W26" s="3">
        <f>[1]!s_fa_grossprofitmargin($A26,W$1)</f>
        <v>19.632999999999999</v>
      </c>
      <c r="X26" s="3">
        <f>[1]!s_fa_grossprofitmargin($A26,X$1)</f>
        <v>19.032299999999999</v>
      </c>
      <c r="Y26" s="3">
        <f>[1]!s_fa_grossprofitmargin($A26,Y$1)</f>
        <v>18.6694</v>
      </c>
    </row>
    <row r="27" spans="1:25">
      <c r="A27" s="8" t="s">
        <v>25</v>
      </c>
      <c r="B27" s="1" t="s">
        <v>68</v>
      </c>
      <c r="C27" s="3">
        <f ca="1">[1]!s_fa_grossprofitmargin($A27,C$1)</f>
        <v>18.8781</v>
      </c>
      <c r="D27" s="3">
        <f>[1]!s_fa_grossprofitmargin($A27,D$1)</f>
        <v>18.8781</v>
      </c>
      <c r="E27" s="3">
        <f>[1]!s_fa_grossprofitmargin($A27,E$1)</f>
        <v>18.7822</v>
      </c>
      <c r="F27" s="3">
        <f>[1]!s_fa_grossprofitmargin($A27,F$1)</f>
        <v>18.414999999999999</v>
      </c>
      <c r="G27" s="3">
        <f>[1]!s_fa_grossprofitmargin($A27,G$1)</f>
        <v>18.860600000000002</v>
      </c>
      <c r="H27" s="3">
        <f>[1]!s_fa_grossprofitmargin($A27,H$1)</f>
        <v>19.101800000000001</v>
      </c>
      <c r="I27" s="3">
        <f>[1]!s_fa_grossprofitmargin($A27,I$1)</f>
        <v>19.665299999999998</v>
      </c>
      <c r="J27" s="3">
        <f>[1]!s_fa_grossprofitmargin($A27,J$1)</f>
        <v>18.8628</v>
      </c>
      <c r="K27" s="3">
        <f>[1]!s_fa_grossprofitmargin($A27,K$1)</f>
        <v>19.227799999999998</v>
      </c>
      <c r="L27" s="3">
        <f>[1]!s_fa_grossprofitmargin($A27,L$1)</f>
        <v>17.615400000000001</v>
      </c>
      <c r="M27" s="3">
        <f>[1]!s_fa_grossprofitmargin($A27,M$1)</f>
        <v>18.371500000000001</v>
      </c>
      <c r="N27" s="3">
        <f>[1]!s_fa_grossprofitmargin($A27,N$1)</f>
        <v>17.248000000000001</v>
      </c>
      <c r="O27" s="3">
        <f>[1]!s_fa_grossprofitmargin($A27,O$1)</f>
        <v>17.448399999999999</v>
      </c>
      <c r="P27" s="3">
        <f>[1]!s_fa_grossprofitmargin($A27,P$1)</f>
        <v>21.277200000000001</v>
      </c>
      <c r="Q27" s="3">
        <f>[1]!s_fa_grossprofitmargin($A27,Q$1)</f>
        <v>22.1586</v>
      </c>
      <c r="R27" s="3">
        <f>[1]!s_fa_grossprofitmargin($A27,R$1)</f>
        <v>22.208400000000001</v>
      </c>
      <c r="S27" s="3">
        <f>[1]!s_fa_grossprofitmargin($A27,S$1)</f>
        <v>23.188400000000001</v>
      </c>
      <c r="T27" s="3">
        <f>[1]!s_fa_grossprofitmargin($A27,T$1)</f>
        <v>23.674800000000001</v>
      </c>
      <c r="U27" s="3">
        <f>[1]!s_fa_grossprofitmargin($A27,U$1)</f>
        <v>23.081</v>
      </c>
      <c r="V27" s="3">
        <f>[1]!s_fa_grossprofitmargin($A27,V$1)</f>
        <v>22.800899999999999</v>
      </c>
      <c r="W27" s="3">
        <f>[1]!s_fa_grossprofitmargin($A27,W$1)</f>
        <v>23.249400000000001</v>
      </c>
      <c r="X27" s="3">
        <f>[1]!s_fa_grossprofitmargin($A27,X$1)</f>
        <v>23.693200000000001</v>
      </c>
      <c r="Y27" s="3">
        <f>[1]!s_fa_grossprofitmargin($A27,Y$1)</f>
        <v>22.8017</v>
      </c>
    </row>
    <row r="28" spans="1:25">
      <c r="A28" s="8" t="s">
        <v>26</v>
      </c>
      <c r="B28" s="1" t="s">
        <v>69</v>
      </c>
      <c r="C28" s="3">
        <f ca="1">[1]!s_fa_grossprofitmargin($A28,C$1)</f>
        <v>19.385400000000001</v>
      </c>
      <c r="D28" s="3">
        <f>[1]!s_fa_grossprofitmargin($A28,D$1)</f>
        <v>19.385400000000001</v>
      </c>
      <c r="E28" s="3">
        <f>[1]!s_fa_grossprofitmargin($A28,E$1)</f>
        <v>18.616599999999998</v>
      </c>
      <c r="F28" s="3">
        <f>[1]!s_fa_grossprofitmargin($A28,F$1)</f>
        <v>20.1508</v>
      </c>
      <c r="G28" s="3">
        <f>[1]!s_fa_grossprofitmargin($A28,G$1)</f>
        <v>19.280100000000001</v>
      </c>
      <c r="H28" s="3">
        <f>[1]!s_fa_grossprofitmargin($A28,H$1)</f>
        <v>18.822500000000002</v>
      </c>
      <c r="I28" s="3">
        <f>[1]!s_fa_grossprofitmargin($A28,I$1)</f>
        <v>23.7592</v>
      </c>
      <c r="J28" s="3">
        <f>[1]!s_fa_grossprofitmargin($A28,J$1)</f>
        <v>22.9785</v>
      </c>
      <c r="K28" s="3">
        <f>[1]!s_fa_grossprofitmargin($A28,K$1)</f>
        <v>25.4361</v>
      </c>
      <c r="L28" s="3">
        <f>[1]!s_fa_grossprofitmargin($A28,L$1)</f>
        <v>31.7713</v>
      </c>
      <c r="M28" s="3">
        <f>[1]!s_fa_grossprofitmargin($A28,M$1)</f>
        <v>30.746300000000002</v>
      </c>
      <c r="N28" s="3">
        <f>[1]!s_fa_grossprofitmargin($A28,N$1)</f>
        <v>31.435400000000001</v>
      </c>
      <c r="O28" s="3">
        <f>[1]!s_fa_grossprofitmargin($A28,O$1)</f>
        <v>30.540600000000001</v>
      </c>
      <c r="P28" s="3">
        <f>[1]!s_fa_grossprofitmargin($A28,P$1)</f>
        <v>30.659600000000001</v>
      </c>
      <c r="Q28" s="3">
        <f>[1]!s_fa_grossprofitmargin($A28,Q$1)</f>
        <v>26.8</v>
      </c>
      <c r="R28" s="3">
        <f>[1]!s_fa_grossprofitmargin($A28,R$1)</f>
        <v>27.282299999999999</v>
      </c>
      <c r="S28" s="3">
        <f>[1]!s_fa_grossprofitmargin($A28,S$1)</f>
        <v>26.363299999999999</v>
      </c>
      <c r="T28" s="3">
        <f>[1]!s_fa_grossprofitmargin($A28,T$1)</f>
        <v>26.45</v>
      </c>
      <c r="U28" s="3">
        <f>[1]!s_fa_grossprofitmargin($A28,U$1)</f>
        <v>25.411200000000001</v>
      </c>
      <c r="V28" s="3">
        <f>[1]!s_fa_grossprofitmargin($A28,V$1)</f>
        <v>28.579799999999999</v>
      </c>
      <c r="W28" s="3">
        <f>[1]!s_fa_grossprofitmargin($A28,W$1)</f>
        <v>28.441600000000001</v>
      </c>
      <c r="X28" s="3">
        <f>[1]!s_fa_grossprofitmargin($A28,X$1)</f>
        <v>28.262699999999999</v>
      </c>
      <c r="Y28" s="3">
        <f>[1]!s_fa_grossprofitmargin($A28,Y$1)</f>
        <v>27.6158</v>
      </c>
    </row>
    <row r="29" spans="1:25">
      <c r="A29" s="8" t="s">
        <v>27</v>
      </c>
      <c r="B29" s="1" t="s">
        <v>70</v>
      </c>
      <c r="C29" s="3">
        <f ca="1">[1]!s_fa_grossprofitmargin($A29,C$1)</f>
        <v>29.8292</v>
      </c>
      <c r="D29" s="3">
        <f>[1]!s_fa_grossprofitmargin($A29,D$1)</f>
        <v>29.8292</v>
      </c>
      <c r="E29" s="3">
        <f>[1]!s_fa_grossprofitmargin($A29,E$1)</f>
        <v>30.2028</v>
      </c>
      <c r="F29" s="3">
        <f>[1]!s_fa_grossprofitmargin($A29,F$1)</f>
        <v>28.113299999999999</v>
      </c>
      <c r="G29" s="3">
        <f>[1]!s_fa_grossprofitmargin($A29,G$1)</f>
        <v>28.949100000000001</v>
      </c>
      <c r="H29" s="3">
        <f>[1]!s_fa_grossprofitmargin($A29,H$1)</f>
        <v>29.578399999999998</v>
      </c>
      <c r="I29" s="3">
        <f>[1]!s_fa_grossprofitmargin($A29,I$1)</f>
        <v>29.461300000000001</v>
      </c>
      <c r="J29" s="3">
        <f>[1]!s_fa_grossprofitmargin($A29,J$1)</f>
        <v>29.368300000000001</v>
      </c>
      <c r="K29" s="3">
        <f>[1]!s_fa_grossprofitmargin($A29,K$1)</f>
        <v>25.896799999999999</v>
      </c>
      <c r="L29" s="3">
        <f>[1]!s_fa_grossprofitmargin($A29,L$1)</f>
        <v>25.087199999999999</v>
      </c>
      <c r="M29" s="3">
        <f>[1]!s_fa_grossprofitmargin($A29,M$1)</f>
        <v>25.102499999999999</v>
      </c>
      <c r="N29" s="3">
        <f>[1]!s_fa_grossprofitmargin($A29,N$1)</f>
        <v>24.3965</v>
      </c>
      <c r="O29" s="3">
        <f>[1]!s_fa_grossprofitmargin($A29,O$1)</f>
        <v>24.7761</v>
      </c>
      <c r="P29" s="3">
        <f>[1]!s_fa_grossprofitmargin($A29,P$1)</f>
        <v>25.7347</v>
      </c>
      <c r="Q29" s="3">
        <f>[1]!s_fa_grossprofitmargin($A29,Q$1)</f>
        <v>27.6662</v>
      </c>
      <c r="R29" s="3">
        <f>[1]!s_fa_grossprofitmargin($A29,R$1)</f>
        <v>26.395900000000001</v>
      </c>
      <c r="S29" s="3">
        <f>[1]!s_fa_grossprofitmargin($A29,S$1)</f>
        <v>27.105699999999999</v>
      </c>
      <c r="T29" s="3">
        <f>[1]!s_fa_grossprofitmargin($A29,T$1)</f>
        <v>28.472000000000001</v>
      </c>
      <c r="U29" s="3">
        <f>[1]!s_fa_grossprofitmargin($A29,U$1)</f>
        <v>29.611999999999998</v>
      </c>
      <c r="V29" s="3">
        <f>[1]!s_fa_grossprofitmargin($A29,V$1)</f>
        <v>27.814699999999998</v>
      </c>
      <c r="W29" s="3">
        <f>[1]!s_fa_grossprofitmargin($A29,W$1)</f>
        <v>28.368400000000001</v>
      </c>
      <c r="X29" s="3">
        <f>[1]!s_fa_grossprofitmargin($A29,X$1)</f>
        <v>28.664999999999999</v>
      </c>
      <c r="Y29" s="3">
        <f>[1]!s_fa_grossprofitmargin($A29,Y$1)</f>
        <v>29.779599999999999</v>
      </c>
    </row>
    <row r="30" spans="1:25">
      <c r="A30" s="8" t="s">
        <v>28</v>
      </c>
      <c r="B30" s="1" t="s">
        <v>71</v>
      </c>
      <c r="C30" s="3">
        <f ca="1">[1]!s_fa_grossprofitmargin($A30,C$1)</f>
        <v>7.7748999999999997</v>
      </c>
      <c r="D30" s="3">
        <f>[1]!s_fa_grossprofitmargin($A30,D$1)</f>
        <v>7.7748999999999997</v>
      </c>
      <c r="E30" s="3">
        <f>[1]!s_fa_grossprofitmargin($A30,E$1)</f>
        <v>8.1353000000000009</v>
      </c>
      <c r="F30" s="3">
        <f>[1]!s_fa_grossprofitmargin($A30,F$1)</f>
        <v>9.2078000000000007</v>
      </c>
      <c r="G30" s="3">
        <f>[1]!s_fa_grossprofitmargin($A30,G$1)</f>
        <v>9.3909000000000002</v>
      </c>
      <c r="H30" s="3">
        <f>[1]!s_fa_grossprofitmargin($A30,H$1)</f>
        <v>9.1708999999999996</v>
      </c>
      <c r="I30" s="3">
        <f>[1]!s_fa_grossprofitmargin($A30,I$1)</f>
        <v>8.8828999999999994</v>
      </c>
      <c r="J30" s="3">
        <f>[1]!s_fa_grossprofitmargin($A30,J$1)</f>
        <v>10.73</v>
      </c>
      <c r="K30" s="3">
        <f>[1]!s_fa_grossprofitmargin($A30,K$1)</f>
        <v>12.252800000000001</v>
      </c>
      <c r="L30" s="3">
        <f>[1]!s_fa_grossprofitmargin($A30,L$1)</f>
        <v>11.4872</v>
      </c>
      <c r="M30" s="3">
        <f>[1]!s_fa_grossprofitmargin($A30,M$1)</f>
        <v>10.5215</v>
      </c>
      <c r="N30" s="3">
        <f>[1]!s_fa_grossprofitmargin($A30,N$1)</f>
        <v>11.1534</v>
      </c>
      <c r="O30" s="3">
        <f>[1]!s_fa_grossprofitmargin($A30,O$1)</f>
        <v>11.0886</v>
      </c>
      <c r="P30" s="3">
        <f>[1]!s_fa_grossprofitmargin($A30,P$1)</f>
        <v>11.339499999999999</v>
      </c>
      <c r="Q30" s="3">
        <f>[1]!s_fa_grossprofitmargin($A30,Q$1)</f>
        <v>9.6540999999999997</v>
      </c>
      <c r="R30" s="3">
        <f>[1]!s_fa_grossprofitmargin($A30,R$1)</f>
        <v>20.9009</v>
      </c>
      <c r="S30" s="3">
        <f>[1]!s_fa_grossprofitmargin($A30,S$1)</f>
        <v>21.4025</v>
      </c>
      <c r="T30" s="3">
        <f>[1]!s_fa_grossprofitmargin($A30,T$1)</f>
        <v>21.5807</v>
      </c>
      <c r="U30" s="3">
        <f>[1]!s_fa_grossprofitmargin($A30,U$1)</f>
        <v>20.283000000000001</v>
      </c>
      <c r="V30" s="3">
        <f>[1]!s_fa_grossprofitmargin($A30,V$1)</f>
        <v>19.226500000000001</v>
      </c>
      <c r="W30" s="3">
        <f>[1]!s_fa_grossprofitmargin($A30,W$1)</f>
        <v>18.462800000000001</v>
      </c>
      <c r="X30" s="3">
        <f>[1]!s_fa_grossprofitmargin($A30,X$1)</f>
        <v>18.298100000000002</v>
      </c>
      <c r="Y30" s="3">
        <f>[1]!s_fa_grossprofitmargin($A30,Y$1)</f>
        <v>17.487500000000001</v>
      </c>
    </row>
    <row r="31" spans="1:25">
      <c r="A31" s="8" t="s">
        <v>29</v>
      </c>
      <c r="B31" s="1" t="s">
        <v>72</v>
      </c>
      <c r="C31" s="3">
        <f ca="1">[1]!s_fa_grossprofitmargin($A31,C$1)</f>
        <v>12.159599999999999</v>
      </c>
      <c r="D31" s="3">
        <f>[1]!s_fa_grossprofitmargin($A31,D$1)</f>
        <v>12.159599999999999</v>
      </c>
      <c r="E31" s="3">
        <f>[1]!s_fa_grossprofitmargin($A31,E$1)</f>
        <v>12.117100000000001</v>
      </c>
      <c r="F31" s="3">
        <f>[1]!s_fa_grossprofitmargin($A31,F$1)</f>
        <v>16.458200000000001</v>
      </c>
      <c r="G31" s="3">
        <f>[1]!s_fa_grossprofitmargin($A31,G$1)</f>
        <v>13.266299999999999</v>
      </c>
      <c r="H31" s="3">
        <f>[1]!s_fa_grossprofitmargin($A31,H$1)</f>
        <v>12.924300000000001</v>
      </c>
      <c r="I31" s="3">
        <f>[1]!s_fa_grossprofitmargin($A31,I$1)</f>
        <v>20.545300000000001</v>
      </c>
      <c r="J31" s="3">
        <f>[1]!s_fa_grossprofitmargin($A31,J$1)</f>
        <v>22.275700000000001</v>
      </c>
      <c r="K31" s="3" t="str">
        <f>[1]!s_fa_grossprofitmargin($A31,K$1)</f>
        <v>#N/A</v>
      </c>
      <c r="L31" s="3" t="str">
        <f>[1]!s_fa_grossprofitmargin($A31,L$1)</f>
        <v>#N/A</v>
      </c>
      <c r="M31" s="3" t="str">
        <f>[1]!s_fa_grossprofitmargin($A31,M$1)</f>
        <v>#N/A</v>
      </c>
      <c r="N31" s="3" t="str">
        <f>[1]!s_fa_grossprofitmargin($A31,N$1)</f>
        <v>#N/A</v>
      </c>
      <c r="O31" s="3" t="str">
        <f>[1]!s_fa_grossprofitmargin($A31,O$1)</f>
        <v>#N/A</v>
      </c>
      <c r="P31" s="3" t="str">
        <f>[1]!s_fa_grossprofitmargin($A31,P$1)</f>
        <v>#N/A</v>
      </c>
      <c r="Q31" s="3" t="str">
        <f>[1]!s_fa_grossprofitmargin($A31,Q$1)</f>
        <v>#N/A</v>
      </c>
      <c r="R31" s="3" t="str">
        <f>[1]!s_fa_grossprofitmargin($A31,R$1)</f>
        <v>#N/A</v>
      </c>
      <c r="S31" s="3" t="str">
        <f>[1]!s_fa_grossprofitmargin($A31,S$1)</f>
        <v>#N/A</v>
      </c>
      <c r="T31" s="3" t="str">
        <f>[1]!s_fa_grossprofitmargin($A31,T$1)</f>
        <v>#N/A</v>
      </c>
      <c r="U31" s="3" t="str">
        <f>[1]!s_fa_grossprofitmargin($A31,U$1)</f>
        <v>#N/A</v>
      </c>
      <c r="V31" s="3" t="str">
        <f>[1]!s_fa_grossprofitmargin($A31,V$1)</f>
        <v>#N/A</v>
      </c>
      <c r="W31" s="3" t="str">
        <f>[1]!s_fa_grossprofitmargin($A31,W$1)</f>
        <v>#N/A</v>
      </c>
      <c r="X31" s="3" t="str">
        <f>[1]!s_fa_grossprofitmargin($A31,X$1)</f>
        <v>#N/A</v>
      </c>
      <c r="Y31" s="3" t="str">
        <f>[1]!s_fa_grossprofitmargin($A31,Y$1)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F1" display="销售毛利率" xr:uid="{6327E4BA-0141-3A41-9B69-A2A8159E7A92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7B676-DE17-E14B-A62E-6EC5FF6FC0D5}">
  <sheetPr codeName="Sheet10"/>
  <dimension ref="A1:Y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baseColWidth="10" defaultRowHeight="16"/>
  <cols>
    <col min="1" max="1" width="10.83203125" style="9"/>
    <col min="2" max="2" width="11.83203125" style="9" bestFit="1" customWidth="1"/>
    <col min="3" max="3" width="13.33203125" bestFit="1" customWidth="1"/>
    <col min="4" max="25" width="13.5" bestFit="1" customWidth="1"/>
  </cols>
  <sheetData>
    <row r="1" spans="1:25" s="7" customFormat="1">
      <c r="A1" s="13" t="s">
        <v>37</v>
      </c>
      <c r="B1" s="12">
        <f ca="1">TODAY()</f>
        <v>44440</v>
      </c>
      <c r="C1" s="10">
        <f ca="1">[1]!TDays("2016-01-01",B1,"Days=Alldays","Period=Q","Direction=H","Order=D","cols=23;rows=1")</f>
        <v>44440</v>
      </c>
      <c r="D1" s="11">
        <v>44377</v>
      </c>
      <c r="E1" s="11">
        <v>44286</v>
      </c>
      <c r="F1" s="11">
        <v>44196</v>
      </c>
      <c r="G1" s="11">
        <v>44104</v>
      </c>
      <c r="H1" s="11">
        <v>44012</v>
      </c>
      <c r="I1" s="11">
        <v>43921</v>
      </c>
      <c r="J1" s="11">
        <v>43830</v>
      </c>
      <c r="K1" s="11">
        <v>43738</v>
      </c>
      <c r="L1" s="11">
        <v>43646</v>
      </c>
      <c r="M1" s="11">
        <v>43555</v>
      </c>
      <c r="N1" s="11">
        <v>43465</v>
      </c>
      <c r="O1" s="11">
        <v>43373</v>
      </c>
      <c r="P1" s="11">
        <v>43281</v>
      </c>
      <c r="Q1" s="11">
        <v>43190</v>
      </c>
      <c r="R1" s="11">
        <v>43100</v>
      </c>
      <c r="S1" s="11">
        <v>43008</v>
      </c>
      <c r="T1" s="11">
        <v>42916</v>
      </c>
      <c r="U1" s="11">
        <v>42825</v>
      </c>
      <c r="V1" s="11">
        <v>42735</v>
      </c>
      <c r="W1" s="11">
        <v>42643</v>
      </c>
      <c r="X1" s="11">
        <v>42551</v>
      </c>
      <c r="Y1" s="11">
        <v>42460</v>
      </c>
    </row>
    <row r="2" spans="1:25">
      <c r="A2" s="8" t="s">
        <v>0</v>
      </c>
      <c r="B2" s="1" t="s">
        <v>43</v>
      </c>
      <c r="C2" s="3">
        <f ca="1">[1]!s_fa_netprofitmargin($A2,C$1)</f>
        <v>5.2272999999999996</v>
      </c>
      <c r="D2" s="3">
        <f>[1]!s_fa_netprofitmargin($A2,D$1)</f>
        <v>5.2272999999999996</v>
      </c>
      <c r="E2" s="3">
        <f>[1]!s_fa_netprofitmargin($A2,E$1)</f>
        <v>5.3032000000000004</v>
      </c>
      <c r="F2" s="3">
        <f>[1]!s_fa_netprofitmargin($A2,F$1)</f>
        <v>2.4034</v>
      </c>
      <c r="G2" s="3">
        <f>[1]!s_fa_netprofitmargin($A2,G$1)</f>
        <v>2.3329</v>
      </c>
      <c r="H2" s="3">
        <f>[1]!s_fa_netprofitmargin($A2,H$1)</f>
        <v>-1.1855</v>
      </c>
      <c r="I2" s="3">
        <f>[1]!s_fa_netprofitmargin($A2,I$1)</f>
        <v>-2.3220999999999998</v>
      </c>
      <c r="J2" s="3">
        <f>[1]!s_fa_netprofitmargin($A2,J$1)</f>
        <v>2.7084999999999999</v>
      </c>
      <c r="K2" s="3">
        <f>[1]!s_fa_netprofitmargin($A2,K$1)</f>
        <v>2.9131999999999998</v>
      </c>
      <c r="L2" s="3">
        <f>[1]!s_fa_netprofitmargin($A2,L$1)</f>
        <v>3.0388000000000002</v>
      </c>
      <c r="M2" s="3">
        <f>[1]!s_fa_netprofitmargin($A2,M$1)</f>
        <v>2.6648000000000001</v>
      </c>
      <c r="N2" s="3">
        <f>[1]!s_fa_netprofitmargin($A2,N$1)</f>
        <v>2.9634</v>
      </c>
      <c r="O2" s="3">
        <f>[1]!s_fa_netprofitmargin($A2,O$1)</f>
        <v>3.8102999999999998</v>
      </c>
      <c r="P2" s="3">
        <f>[1]!s_fa_netprofitmargin($A2,P$1)</f>
        <v>3.7985000000000002</v>
      </c>
      <c r="Q2" s="3">
        <f>[1]!s_fa_netprofitmargin($A2,Q$1)</f>
        <v>3.5200999999999998</v>
      </c>
      <c r="R2" s="3">
        <f>[1]!s_fa_netprofitmargin($A2,R$1)</f>
        <v>2.4176000000000002</v>
      </c>
      <c r="S2" s="3">
        <f>[1]!s_fa_netprofitmargin($A2,S$1)</f>
        <v>2.6069</v>
      </c>
      <c r="T2" s="3">
        <f>[1]!s_fa_netprofitmargin($A2,T$1)</f>
        <v>2.6922000000000001</v>
      </c>
      <c r="U2" s="3">
        <f>[1]!s_fa_netprofitmargin($A2,U$1)</f>
        <v>3.0312000000000001</v>
      </c>
      <c r="V2" s="3">
        <f>[1]!s_fa_netprofitmargin($A2,V$1)</f>
        <v>2.3715000000000002</v>
      </c>
      <c r="W2" s="3">
        <f>[1]!s_fa_netprofitmargin($A2,W$1)</f>
        <v>2.2391999999999999</v>
      </c>
      <c r="X2" s="3">
        <f>[1]!s_fa_netprofitmargin($A2,X$1)</f>
        <v>2.3243999999999998</v>
      </c>
      <c r="Y2" s="3">
        <f>[1]!s_fa_netprofitmargin($A2,Y$1)</f>
        <v>1.9300000000000001E-2</v>
      </c>
    </row>
    <row r="3" spans="1:25">
      <c r="A3" s="8" t="s">
        <v>1</v>
      </c>
      <c r="B3" s="1" t="s">
        <v>44</v>
      </c>
      <c r="C3" s="3">
        <f ca="1">[1]!s_fa_netprofitmargin($A3,C$1)</f>
        <v>14.182600000000001</v>
      </c>
      <c r="D3" s="3">
        <f>[1]!s_fa_netprofitmargin($A3,D$1)</f>
        <v>14.182600000000001</v>
      </c>
      <c r="E3" s="3">
        <f>[1]!s_fa_netprofitmargin($A3,E$1)</f>
        <v>13.3111</v>
      </c>
      <c r="F3" s="3">
        <f>[1]!s_fa_netprofitmargin($A3,F$1)</f>
        <v>9.9542000000000002</v>
      </c>
      <c r="G3" s="3">
        <f>[1]!s_fa_netprofitmargin($A3,G$1)</f>
        <v>10.994899999999999</v>
      </c>
      <c r="H3" s="3">
        <f>[1]!s_fa_netprofitmargin($A3,H$1)</f>
        <v>10.289899999999999</v>
      </c>
      <c r="I3" s="3">
        <f>[1]!s_fa_netprofitmargin($A3,I$1)</f>
        <v>10.005800000000001</v>
      </c>
      <c r="J3" s="3">
        <f>[1]!s_fa_netprofitmargin($A3,J$1)</f>
        <v>10.4579</v>
      </c>
      <c r="K3" s="3">
        <f>[1]!s_fa_netprofitmargin($A3,K$1)</f>
        <v>12.837899999999999</v>
      </c>
      <c r="L3" s="3">
        <f>[1]!s_fa_netprofitmargin($A3,L$1)</f>
        <v>13.022600000000001</v>
      </c>
      <c r="M3" s="3">
        <f>[1]!s_fa_netprofitmargin($A3,M$1)</f>
        <v>13.373900000000001</v>
      </c>
      <c r="N3" s="3">
        <f>[1]!s_fa_netprofitmargin($A3,N$1)</f>
        <v>11.9968</v>
      </c>
      <c r="O3" s="3">
        <f>[1]!s_fa_netprofitmargin($A3,O$1)</f>
        <v>13.3032</v>
      </c>
      <c r="P3" s="3">
        <f>[1]!s_fa_netprofitmargin($A3,P$1)</f>
        <v>13.698499999999999</v>
      </c>
      <c r="Q3" s="3">
        <f>[1]!s_fa_netprofitmargin($A3,Q$1)</f>
        <v>14.225099999999999</v>
      </c>
      <c r="R3" s="3">
        <f>[1]!s_fa_netprofitmargin($A3,R$1)</f>
        <v>11.958299999999999</v>
      </c>
      <c r="S3" s="3">
        <f>[1]!s_fa_netprofitmargin($A3,S$1)</f>
        <v>12.424300000000001</v>
      </c>
      <c r="T3" s="3">
        <f>[1]!s_fa_netprofitmargin($A3,T$1)</f>
        <v>12.8148</v>
      </c>
      <c r="U3" s="3">
        <f>[1]!s_fa_netprofitmargin($A3,U$1)</f>
        <v>13.228300000000001</v>
      </c>
      <c r="V3" s="3">
        <f>[1]!s_fa_netprofitmargin($A3,V$1)</f>
        <v>6.8056999999999999</v>
      </c>
      <c r="W3" s="3">
        <f>[1]!s_fa_netprofitmargin($A3,W$1)</f>
        <v>5.9450000000000003</v>
      </c>
      <c r="X3" s="3">
        <f>[1]!s_fa_netprofitmargin($A3,X$1)</f>
        <v>5.4669999999999996</v>
      </c>
      <c r="Y3" s="3">
        <f>[1]!s_fa_netprofitmargin($A3,Y$1)</f>
        <v>4.6712999999999996</v>
      </c>
    </row>
    <row r="4" spans="1:25">
      <c r="A4" s="8" t="s">
        <v>2</v>
      </c>
      <c r="B4" s="1" t="s">
        <v>45</v>
      </c>
      <c r="C4" s="3">
        <f ca="1">[1]!s_fa_netprofitmargin($A4,C$1)</f>
        <v>4.5389999999999997</v>
      </c>
      <c r="D4" s="3">
        <f>[1]!s_fa_netprofitmargin($A4,D$1)</f>
        <v>4.5389999999999997</v>
      </c>
      <c r="E4" s="3">
        <f>[1]!s_fa_netprofitmargin($A4,E$1)</f>
        <v>3.8889999999999998</v>
      </c>
      <c r="F4" s="3">
        <f>[1]!s_fa_netprofitmargin($A4,F$1)</f>
        <v>2.4853999999999998</v>
      </c>
      <c r="G4" s="3">
        <f>[1]!s_fa_netprofitmargin($A4,G$1)</f>
        <v>2.2208999999999999</v>
      </c>
      <c r="H4" s="3">
        <f>[1]!s_fa_netprofitmargin($A4,H$1)</f>
        <v>1.8021</v>
      </c>
      <c r="I4" s="3">
        <f>[1]!s_fa_netprofitmargin($A4,I$1)</f>
        <v>1.4236</v>
      </c>
      <c r="J4" s="3">
        <f>[1]!s_fa_netprofitmargin($A4,J$1)</f>
        <v>0.79869999999999997</v>
      </c>
      <c r="K4" s="3">
        <f>[1]!s_fa_netprofitmargin($A4,K$1)</f>
        <v>2.3883999999999999</v>
      </c>
      <c r="L4" s="3">
        <f>[1]!s_fa_netprofitmargin($A4,L$1)</f>
        <v>2.5385</v>
      </c>
      <c r="M4" s="3">
        <f>[1]!s_fa_netprofitmargin($A4,M$1)</f>
        <v>2.5547</v>
      </c>
      <c r="N4" s="3">
        <f>[1]!s_fa_netprofitmargin($A4,N$1)</f>
        <v>1.3384</v>
      </c>
      <c r="O4" s="3">
        <f>[1]!s_fa_netprofitmargin($A4,O$1)</f>
        <v>3.4740000000000002</v>
      </c>
      <c r="P4" s="3">
        <f>[1]!s_fa_netprofitmargin($A4,P$1)</f>
        <v>3.7597</v>
      </c>
      <c r="Q4" s="3">
        <f>[1]!s_fa_netprofitmargin($A4,Q$1)</f>
        <v>4.1714000000000002</v>
      </c>
      <c r="R4" s="3">
        <f>[1]!s_fa_netprofitmargin($A4,R$1)</f>
        <v>3.0586000000000002</v>
      </c>
      <c r="S4" s="3">
        <f>[1]!s_fa_netprofitmargin($A4,S$1)</f>
        <v>3.4304999999999999</v>
      </c>
      <c r="T4" s="3">
        <f>[1]!s_fa_netprofitmargin($A4,T$1)</f>
        <v>3.1867000000000001</v>
      </c>
      <c r="U4" s="3">
        <f>[1]!s_fa_netprofitmargin($A4,U$1)</f>
        <v>3.4112</v>
      </c>
      <c r="V4" s="3">
        <f>[1]!s_fa_netprofitmargin($A4,V$1)</f>
        <v>1.8897999999999999</v>
      </c>
      <c r="W4" s="3">
        <f>[1]!s_fa_netprofitmargin($A4,W$1)</f>
        <v>1.9531000000000001</v>
      </c>
      <c r="X4" s="3">
        <f>[1]!s_fa_netprofitmargin($A4,X$1)</f>
        <v>1.7087000000000001</v>
      </c>
      <c r="Y4" s="3">
        <f>[1]!s_fa_netprofitmargin($A4,Y$1)</f>
        <v>1.1332</v>
      </c>
    </row>
    <row r="5" spans="1:25">
      <c r="A5" s="8" t="s">
        <v>3</v>
      </c>
      <c r="B5" s="1" t="s">
        <v>46</v>
      </c>
      <c r="C5" s="3">
        <f ca="1">[1]!s_fa_netprofitmargin($A5,C$1)</f>
        <v>10.1393</v>
      </c>
      <c r="D5" s="3">
        <f>[1]!s_fa_netprofitmargin($A5,D$1)</f>
        <v>10.1393</v>
      </c>
      <c r="E5" s="3">
        <f>[1]!s_fa_netprofitmargin($A5,E$1)</f>
        <v>9.9574999999999996</v>
      </c>
      <c r="F5" s="3">
        <f>[1]!s_fa_netprofitmargin($A5,F$1)</f>
        <v>10.5083</v>
      </c>
      <c r="G5" s="3">
        <f>[1]!s_fa_netprofitmargin($A5,G$1)</f>
        <v>13.341200000000001</v>
      </c>
      <c r="H5" s="3">
        <f>[1]!s_fa_netprofitmargin($A5,H$1)</f>
        <v>11.839399999999999</v>
      </c>
      <c r="I5" s="3">
        <f>[1]!s_fa_netprofitmargin($A5,I$1)</f>
        <v>8.2540999999999993</v>
      </c>
      <c r="J5" s="3">
        <f>[1]!s_fa_netprofitmargin($A5,J$1)</f>
        <v>8.1668000000000003</v>
      </c>
      <c r="K5" s="3">
        <f>[1]!s_fa_netprofitmargin($A5,K$1)</f>
        <v>10.379899999999999</v>
      </c>
      <c r="L5" s="3">
        <f>[1]!s_fa_netprofitmargin($A5,L$1)</f>
        <v>9.8749000000000002</v>
      </c>
      <c r="M5" s="3">
        <f>[1]!s_fa_netprofitmargin($A5,M$1)</f>
        <v>9.9736999999999991</v>
      </c>
      <c r="N5" s="3">
        <f>[1]!s_fa_netprofitmargin($A5,N$1)</f>
        <v>7.6295999999999999</v>
      </c>
      <c r="O5" s="3">
        <f>[1]!s_fa_netprofitmargin($A5,O$1)</f>
        <v>9.8428000000000004</v>
      </c>
      <c r="P5" s="3">
        <f>[1]!s_fa_netprofitmargin($A5,P$1)</f>
        <v>9.4398999999999997</v>
      </c>
      <c r="Q5" s="3">
        <f>[1]!s_fa_netprofitmargin($A5,Q$1)</f>
        <v>8.8994</v>
      </c>
      <c r="R5" s="3">
        <f>[1]!s_fa_netprofitmargin($A5,R$1)</f>
        <v>8.4169</v>
      </c>
      <c r="S5" s="3">
        <f>[1]!s_fa_netprofitmargin($A5,S$1)</f>
        <v>10.5267</v>
      </c>
      <c r="T5" s="3">
        <f>[1]!s_fa_netprofitmargin($A5,T$1)</f>
        <v>9.1434999999999995</v>
      </c>
      <c r="U5" s="3">
        <f>[1]!s_fa_netprofitmargin($A5,U$1)</f>
        <v>8.3747000000000007</v>
      </c>
      <c r="V5" s="3">
        <f>[1]!s_fa_netprofitmargin($A5,V$1)</f>
        <v>13.741</v>
      </c>
      <c r="W5" s="3">
        <f>[1]!s_fa_netprofitmargin($A5,W$1)</f>
        <v>16.672899999999998</v>
      </c>
      <c r="X5" s="3">
        <f>[1]!s_fa_netprofitmargin($A5,X$1)</f>
        <v>16.499600000000001</v>
      </c>
      <c r="Y5" s="3">
        <f>[1]!s_fa_netprofitmargin($A5,Y$1)</f>
        <v>15.911099999999999</v>
      </c>
    </row>
    <row r="6" spans="1:25">
      <c r="A6" s="8" t="s">
        <v>4</v>
      </c>
      <c r="B6" s="1" t="s">
        <v>47</v>
      </c>
      <c r="C6" s="3">
        <f ca="1">[1]!s_fa_netprofitmargin($A6,C$1)</f>
        <v>6.5575000000000001</v>
      </c>
      <c r="D6" s="3">
        <f>[1]!s_fa_netprofitmargin($A6,D$1)</f>
        <v>6.5575000000000001</v>
      </c>
      <c r="E6" s="3">
        <f>[1]!s_fa_netprofitmargin($A6,E$1)</f>
        <v>5.3331999999999997</v>
      </c>
      <c r="F6" s="3">
        <f>[1]!s_fa_netprofitmargin($A6,F$1)</f>
        <v>3.6878000000000002</v>
      </c>
      <c r="G6" s="3">
        <f>[1]!s_fa_netprofitmargin($A6,G$1)</f>
        <v>3.5811999999999999</v>
      </c>
      <c r="H6" s="3">
        <f>[1]!s_fa_netprofitmargin($A6,H$1)</f>
        <v>3.0966999999999998</v>
      </c>
      <c r="I6" s="3">
        <f>[1]!s_fa_netprofitmargin($A6,I$1)</f>
        <v>2.3938000000000001</v>
      </c>
      <c r="J6" s="3">
        <f>[1]!s_fa_netprofitmargin($A6,J$1)</f>
        <v>3.9201000000000001</v>
      </c>
      <c r="K6" s="3">
        <f>[1]!s_fa_netprofitmargin($A6,K$1)</f>
        <v>4.2903000000000002</v>
      </c>
      <c r="L6" s="3">
        <f>[1]!s_fa_netprofitmargin($A6,L$1)</f>
        <v>4.5500999999999996</v>
      </c>
      <c r="M6" s="3">
        <f>[1]!s_fa_netprofitmargin($A6,M$1)</f>
        <v>3.8317000000000001</v>
      </c>
      <c r="N6" s="3">
        <f>[1]!s_fa_netprofitmargin($A6,N$1)</f>
        <v>6.5987</v>
      </c>
      <c r="O6" s="3">
        <f>[1]!s_fa_netprofitmargin($A6,O$1)</f>
        <v>7.2355999999999998</v>
      </c>
      <c r="P6" s="3">
        <f>[1]!s_fa_netprofitmargin($A6,P$1)</f>
        <v>7.0364000000000004</v>
      </c>
      <c r="Q6" s="3">
        <f>[1]!s_fa_netprofitmargin($A6,Q$1)</f>
        <v>6.585</v>
      </c>
      <c r="R6" s="3">
        <f>[1]!s_fa_netprofitmargin($A6,R$1)</f>
        <v>5.6148999999999996</v>
      </c>
      <c r="S6" s="3">
        <f>[1]!s_fa_netprofitmargin($A6,S$1)</f>
        <v>4.6622000000000003</v>
      </c>
      <c r="T6" s="3">
        <f>[1]!s_fa_netprofitmargin($A6,T$1)</f>
        <v>3.3946000000000001</v>
      </c>
      <c r="U6" s="3">
        <f>[1]!s_fa_netprofitmargin($A6,U$1)</f>
        <v>3.5402999999999998</v>
      </c>
      <c r="V6" s="3">
        <f>[1]!s_fa_netprofitmargin($A6,V$1)</f>
        <v>0.82809999999999995</v>
      </c>
      <c r="W6" s="3">
        <f>[1]!s_fa_netprofitmargin($A6,W$1)</f>
        <v>0.97250000000000003</v>
      </c>
      <c r="X6" s="3">
        <f>[1]!s_fa_netprofitmargin($A6,X$1)</f>
        <v>0.57150000000000001</v>
      </c>
      <c r="Y6" s="3">
        <f>[1]!s_fa_netprofitmargin($A6,Y$1)</f>
        <v>-1.9494</v>
      </c>
    </row>
    <row r="7" spans="1:25">
      <c r="A7" s="8" t="s">
        <v>5</v>
      </c>
      <c r="B7" s="1" t="s">
        <v>48</v>
      </c>
      <c r="C7" s="3">
        <f ca="1">[1]!s_fa_netprofitmargin($A7,C$1)</f>
        <v>12.447800000000001</v>
      </c>
      <c r="D7" s="3">
        <f>[1]!s_fa_netprofitmargin($A7,D$1)</f>
        <v>12.447800000000001</v>
      </c>
      <c r="E7" s="3">
        <f>[1]!s_fa_netprofitmargin($A7,E$1)</f>
        <v>11.126799999999999</v>
      </c>
      <c r="F7" s="3">
        <f>[1]!s_fa_netprofitmargin($A7,F$1)</f>
        <v>5.5945999999999998</v>
      </c>
      <c r="G7" s="3">
        <f>[1]!s_fa_netprofitmargin($A7,G$1)</f>
        <v>6.6228999999999996</v>
      </c>
      <c r="H7" s="3">
        <f>[1]!s_fa_netprofitmargin($A7,H$1)</f>
        <v>6.3076999999999996</v>
      </c>
      <c r="I7" s="3">
        <f>[1]!s_fa_netprofitmargin($A7,I$1)</f>
        <v>4.9038000000000004</v>
      </c>
      <c r="J7" s="3">
        <f>[1]!s_fa_netprofitmargin($A7,J$1)</f>
        <v>1.7964</v>
      </c>
      <c r="K7" s="3">
        <f>[1]!s_fa_netprofitmargin($A7,K$1)</f>
        <v>6.9280999999999997</v>
      </c>
      <c r="L7" s="3">
        <f>[1]!s_fa_netprofitmargin($A7,L$1)</f>
        <v>7.5252999999999997</v>
      </c>
      <c r="M7" s="3">
        <f>[1]!s_fa_netprofitmargin($A7,M$1)</f>
        <v>7.2618999999999998</v>
      </c>
      <c r="N7" s="3">
        <f>[1]!s_fa_netprofitmargin($A7,N$1)</f>
        <v>7.3916000000000004</v>
      </c>
      <c r="O7" s="3">
        <f>[1]!s_fa_netprofitmargin($A7,O$1)</f>
        <v>8.9456000000000007</v>
      </c>
      <c r="P7" s="3">
        <f>[1]!s_fa_netprofitmargin($A7,P$1)</f>
        <v>9.5182000000000002</v>
      </c>
      <c r="Q7" s="3">
        <f>[1]!s_fa_netprofitmargin($A7,Q$1)</f>
        <v>9.6707000000000001</v>
      </c>
      <c r="R7" s="3">
        <f>[1]!s_fa_netprofitmargin($A7,R$1)</f>
        <v>6.0930999999999997</v>
      </c>
      <c r="S7" s="3">
        <f>[1]!s_fa_netprofitmargin($A7,S$1)</f>
        <v>7.5083000000000002</v>
      </c>
      <c r="T7" s="3">
        <f>[1]!s_fa_netprofitmargin($A7,T$1)</f>
        <v>7.5027999999999997</v>
      </c>
      <c r="U7" s="3">
        <f>[1]!s_fa_netprofitmargin($A7,U$1)</f>
        <v>7.3433999999999999</v>
      </c>
      <c r="V7" s="3">
        <f>[1]!s_fa_netprofitmargin($A7,V$1)</f>
        <v>3.0756000000000001</v>
      </c>
      <c r="W7" s="3">
        <f>[1]!s_fa_netprofitmargin($A7,W$1)</f>
        <v>4.0202999999999998</v>
      </c>
      <c r="X7" s="3">
        <f>[1]!s_fa_netprofitmargin($A7,X$1)</f>
        <v>4.5323000000000002</v>
      </c>
      <c r="Y7" s="3">
        <f>[1]!s_fa_netprofitmargin($A7,Y$1)</f>
        <v>4.1814</v>
      </c>
    </row>
    <row r="8" spans="1:25">
      <c r="A8" s="8" t="s">
        <v>6</v>
      </c>
      <c r="B8" s="1" t="s">
        <v>49</v>
      </c>
      <c r="C8" s="3">
        <f ca="1">[1]!s_fa_netprofitmargin($A8,C$1)</f>
        <v>3.4655</v>
      </c>
      <c r="D8" s="3">
        <f>[1]!s_fa_netprofitmargin($A8,D$1)</f>
        <v>3.4655</v>
      </c>
      <c r="E8" s="3">
        <f>[1]!s_fa_netprofitmargin($A8,E$1)</f>
        <v>3.1938</v>
      </c>
      <c r="F8" s="3">
        <f>[1]!s_fa_netprofitmargin($A8,F$1)</f>
        <v>3.3041999999999998</v>
      </c>
      <c r="G8" s="3">
        <f>[1]!s_fa_netprofitmargin($A8,G$1)</f>
        <v>3.3954</v>
      </c>
      <c r="H8" s="3">
        <f>[1]!s_fa_netprofitmargin($A8,H$1)</f>
        <v>3.4397000000000002</v>
      </c>
      <c r="I8" s="3">
        <f>[1]!s_fa_netprofitmargin($A8,I$1)</f>
        <v>2.87</v>
      </c>
      <c r="J8" s="3">
        <f>[1]!s_fa_netprofitmargin($A8,J$1)</f>
        <v>3.3813</v>
      </c>
      <c r="K8" s="3">
        <f>[1]!s_fa_netprofitmargin($A8,K$1)</f>
        <v>3.6573000000000002</v>
      </c>
      <c r="L8" s="3">
        <f>[1]!s_fa_netprofitmargin($A8,L$1)</f>
        <v>3.8123999999999998</v>
      </c>
      <c r="M8" s="3">
        <f>[1]!s_fa_netprofitmargin($A8,M$1)</f>
        <v>3.5587</v>
      </c>
      <c r="N8" s="3">
        <f>[1]!s_fa_netprofitmargin($A8,N$1)</f>
        <v>3.6048</v>
      </c>
      <c r="O8" s="3">
        <f>[1]!s_fa_netprofitmargin($A8,O$1)</f>
        <v>3.7582</v>
      </c>
      <c r="P8" s="3">
        <f>[1]!s_fa_netprofitmargin($A8,P$1)</f>
        <v>3.9668999999999999</v>
      </c>
      <c r="Q8" s="3">
        <f>[1]!s_fa_netprofitmargin($A8,Q$1)</f>
        <v>3.4298999999999999</v>
      </c>
      <c r="R8" s="3">
        <f>[1]!s_fa_netprofitmargin($A8,R$1)</f>
        <v>3.6181999999999999</v>
      </c>
      <c r="S8" s="3">
        <f>[1]!s_fa_netprofitmargin($A8,S$1)</f>
        <v>3.6118999999999999</v>
      </c>
      <c r="T8" s="3">
        <f>[1]!s_fa_netprofitmargin($A8,T$1)</f>
        <v>3.7595999999999998</v>
      </c>
      <c r="U8" s="3">
        <f>[1]!s_fa_netprofitmargin($A8,U$1)</f>
        <v>3.3113999999999999</v>
      </c>
      <c r="V8" s="3">
        <f>[1]!s_fa_netprofitmargin($A8,V$1)</f>
        <v>3.3256999999999999</v>
      </c>
      <c r="W8" s="3">
        <f>[1]!s_fa_netprofitmargin($A8,W$1)</f>
        <v>3.5051999999999999</v>
      </c>
      <c r="X8" s="3">
        <f>[1]!s_fa_netprofitmargin($A8,X$1)</f>
        <v>3.4676999999999998</v>
      </c>
      <c r="Y8" s="3">
        <f>[1]!s_fa_netprofitmargin($A8,Y$1)</f>
        <v>3.0375000000000001</v>
      </c>
    </row>
    <row r="9" spans="1:25">
      <c r="A9" s="8" t="s">
        <v>7</v>
      </c>
      <c r="B9" s="1" t="s">
        <v>50</v>
      </c>
      <c r="C9" s="3">
        <f ca="1">[1]!s_fa_netprofitmargin($A9,C$1)</f>
        <v>15.0525</v>
      </c>
      <c r="D9" s="3">
        <f>[1]!s_fa_netprofitmargin($A9,D$1)</f>
        <v>15.0525</v>
      </c>
      <c r="E9" s="3">
        <f>[1]!s_fa_netprofitmargin($A9,E$1)</f>
        <v>12.4617</v>
      </c>
      <c r="F9" s="3">
        <f>[1]!s_fa_netprofitmargin($A9,F$1)</f>
        <v>14.5487</v>
      </c>
      <c r="G9" s="3">
        <f>[1]!s_fa_netprofitmargin($A9,G$1)</f>
        <v>15.4605</v>
      </c>
      <c r="H9" s="3">
        <f>[1]!s_fa_netprofitmargin($A9,H$1)</f>
        <v>15.08</v>
      </c>
      <c r="I9" s="3">
        <f>[1]!s_fa_netprofitmargin($A9,I$1)</f>
        <v>10.08</v>
      </c>
      <c r="J9" s="3">
        <f>[1]!s_fa_netprofitmargin($A9,J$1)</f>
        <v>13.6625</v>
      </c>
      <c r="K9" s="3">
        <f>[1]!s_fa_netprofitmargin($A9,K$1)</f>
        <v>15.8062</v>
      </c>
      <c r="L9" s="3">
        <f>[1]!s_fa_netprofitmargin($A9,L$1)</f>
        <v>15.2606</v>
      </c>
      <c r="M9" s="3">
        <f>[1]!s_fa_netprofitmargin($A9,M$1)</f>
        <v>12.9085</v>
      </c>
      <c r="N9" s="3">
        <f>[1]!s_fa_netprofitmargin($A9,N$1)</f>
        <v>15.164400000000001</v>
      </c>
      <c r="O9" s="3">
        <f>[1]!s_fa_netprofitmargin($A9,O$1)</f>
        <v>16.4876</v>
      </c>
      <c r="P9" s="3">
        <f>[1]!s_fa_netprofitmargin($A9,P$1)</f>
        <v>16.588000000000001</v>
      </c>
      <c r="Q9" s="3">
        <f>[1]!s_fa_netprofitmargin($A9,Q$1)</f>
        <v>13.0617</v>
      </c>
      <c r="R9" s="3">
        <f>[1]!s_fa_netprofitmargin($A9,R$1)</f>
        <v>11.717499999999999</v>
      </c>
      <c r="S9" s="3">
        <f>[1]!s_fa_netprofitmargin($A9,S$1)</f>
        <v>11.173400000000001</v>
      </c>
      <c r="T9" s="3">
        <f>[1]!s_fa_netprofitmargin($A9,T$1)</f>
        <v>10.005599999999999</v>
      </c>
      <c r="U9" s="3">
        <f>[1]!s_fa_netprofitmargin($A9,U$1)</f>
        <v>5.4748999999999999</v>
      </c>
      <c r="V9" s="3">
        <f>[1]!s_fa_netprofitmargin($A9,V$1)</f>
        <v>8.2888000000000002</v>
      </c>
      <c r="W9" s="3">
        <f>[1]!s_fa_netprofitmargin($A9,W$1)</f>
        <v>8.2172999999999998</v>
      </c>
      <c r="X9" s="3">
        <f>[1]!s_fa_netprofitmargin($A9,X$1)</f>
        <v>6.3181000000000003</v>
      </c>
      <c r="Y9" s="3">
        <f>[1]!s_fa_netprofitmargin($A9,Y$1)</f>
        <v>1.1384000000000001</v>
      </c>
    </row>
    <row r="10" spans="1:25">
      <c r="A10" s="8" t="s">
        <v>8</v>
      </c>
      <c r="B10" s="1" t="s">
        <v>51</v>
      </c>
      <c r="C10" s="3">
        <f ca="1">[1]!s_fa_netprofitmargin($A10,C$1)</f>
        <v>9.0737000000000005</v>
      </c>
      <c r="D10" s="3">
        <f>[1]!s_fa_netprofitmargin($A10,D$1)</f>
        <v>9.0737000000000005</v>
      </c>
      <c r="E10" s="3">
        <f>[1]!s_fa_netprofitmargin($A10,E$1)</f>
        <v>9.0395000000000003</v>
      </c>
      <c r="F10" s="3">
        <f>[1]!s_fa_netprofitmargin($A10,F$1)</f>
        <v>7.7144000000000004</v>
      </c>
      <c r="G10" s="3">
        <f>[1]!s_fa_netprofitmargin($A10,G$1)</f>
        <v>7.7243000000000004</v>
      </c>
      <c r="H10" s="3">
        <f>[1]!s_fa_netprofitmargin($A10,H$1)</f>
        <v>6.8784999999999998</v>
      </c>
      <c r="I10" s="3">
        <f>[1]!s_fa_netprofitmargin($A10,I$1)</f>
        <v>5.4420999999999999</v>
      </c>
      <c r="J10" s="3">
        <f>[1]!s_fa_netprofitmargin($A10,J$1)</f>
        <v>7.4565999999999999</v>
      </c>
      <c r="K10" s="3">
        <f>[1]!s_fa_netprofitmargin($A10,K$1)</f>
        <v>8.2227999999999994</v>
      </c>
      <c r="L10" s="3">
        <f>[1]!s_fa_netprofitmargin($A10,L$1)</f>
        <v>7.8026999999999997</v>
      </c>
      <c r="M10" s="3">
        <f>[1]!s_fa_netprofitmargin($A10,M$1)</f>
        <v>6.8331999999999997</v>
      </c>
      <c r="N10" s="3">
        <f>[1]!s_fa_netprofitmargin($A10,N$1)</f>
        <v>7.9705000000000004</v>
      </c>
      <c r="O10" s="3">
        <f>[1]!s_fa_netprofitmargin($A10,O$1)</f>
        <v>9.4591999999999992</v>
      </c>
      <c r="P10" s="3">
        <f>[1]!s_fa_netprofitmargin($A10,P$1)</f>
        <v>9.4658999999999995</v>
      </c>
      <c r="Q10" s="3">
        <f>[1]!s_fa_netprofitmargin($A10,Q$1)</f>
        <v>8.1247000000000007</v>
      </c>
      <c r="R10" s="3">
        <f>[1]!s_fa_netprofitmargin($A10,R$1)</f>
        <v>9.1966999999999999</v>
      </c>
      <c r="S10" s="3">
        <f>[1]!s_fa_netprofitmargin($A10,S$1)</f>
        <v>9.5587999999999997</v>
      </c>
      <c r="T10" s="3">
        <f>[1]!s_fa_netprofitmargin($A10,T$1)</f>
        <v>9.5943000000000005</v>
      </c>
      <c r="U10" s="3">
        <f>[1]!s_fa_netprofitmargin($A10,U$1)</f>
        <v>9.5342000000000002</v>
      </c>
      <c r="V10" s="3">
        <f>[1]!s_fa_netprofitmargin($A10,V$1)</f>
        <v>7.1154000000000002</v>
      </c>
      <c r="W10" s="3">
        <f>[1]!s_fa_netprofitmargin($A10,W$1)</f>
        <v>7.0521000000000003</v>
      </c>
      <c r="X10" s="3">
        <f>[1]!s_fa_netprofitmargin($A10,X$1)</f>
        <v>6.7648999999999999</v>
      </c>
      <c r="Y10" s="3">
        <f>[1]!s_fa_netprofitmargin($A10,Y$1)</f>
        <v>6.7091000000000003</v>
      </c>
    </row>
    <row r="11" spans="1:25">
      <c r="A11" s="8" t="s">
        <v>9</v>
      </c>
      <c r="B11" s="1" t="s">
        <v>52</v>
      </c>
      <c r="C11" s="3">
        <f ca="1">[1]!s_fa_netprofitmargin($A11,C$1)</f>
        <v>8.4786999999999999</v>
      </c>
      <c r="D11" s="3">
        <f>[1]!s_fa_netprofitmargin($A11,D$1)</f>
        <v>8.4786999999999999</v>
      </c>
      <c r="E11" s="3">
        <f>[1]!s_fa_netprofitmargin($A11,E$1)</f>
        <v>8.1471</v>
      </c>
      <c r="F11" s="3">
        <f>[1]!s_fa_netprofitmargin($A11,F$1)</f>
        <v>6.6444999999999999</v>
      </c>
      <c r="G11" s="3">
        <f>[1]!s_fa_netprofitmargin($A11,G$1)</f>
        <v>7.7164999999999999</v>
      </c>
      <c r="H11" s="3">
        <f>[1]!s_fa_netprofitmargin($A11,H$1)</f>
        <v>7.5122</v>
      </c>
      <c r="I11" s="3">
        <f>[1]!s_fa_netprofitmargin($A11,I$1)</f>
        <v>4.2453000000000003</v>
      </c>
      <c r="J11" s="3">
        <f>[1]!s_fa_netprofitmargin($A11,J$1)</f>
        <v>4.6224999999999996</v>
      </c>
      <c r="K11" s="3">
        <f>[1]!s_fa_netprofitmargin($A11,K$1)</f>
        <v>6.1736000000000004</v>
      </c>
      <c r="L11" s="3">
        <f>[1]!s_fa_netprofitmargin($A11,L$1)</f>
        <v>6.1483999999999996</v>
      </c>
      <c r="M11" s="3">
        <f>[1]!s_fa_netprofitmargin($A11,M$1)</f>
        <v>5.7778999999999998</v>
      </c>
      <c r="N11" s="3">
        <f>[1]!s_fa_netprofitmargin($A11,N$1)</f>
        <v>2.2408000000000001</v>
      </c>
      <c r="O11" s="3">
        <f>[1]!s_fa_netprofitmargin($A11,O$1)</f>
        <v>5.2788000000000004</v>
      </c>
      <c r="P11" s="3">
        <f>[1]!s_fa_netprofitmargin($A11,P$1)</f>
        <v>5.0495999999999999</v>
      </c>
      <c r="Q11" s="3">
        <f>[1]!s_fa_netprofitmargin($A11,Q$1)</f>
        <v>5.1719999999999997</v>
      </c>
      <c r="R11" s="3">
        <f>[1]!s_fa_netprofitmargin($A11,R$1)</f>
        <v>5.5970000000000004</v>
      </c>
      <c r="S11" s="3">
        <f>[1]!s_fa_netprofitmargin($A11,S$1)</f>
        <v>5.883</v>
      </c>
      <c r="T11" s="3">
        <f>[1]!s_fa_netprofitmargin($A11,T$1)</f>
        <v>5.6585000000000001</v>
      </c>
      <c r="U11" s="3">
        <f>[1]!s_fa_netprofitmargin($A11,U$1)</f>
        <v>4.7382</v>
      </c>
      <c r="V11" s="3">
        <f>[1]!s_fa_netprofitmargin($A11,V$1)</f>
        <v>4.4734999999999996</v>
      </c>
      <c r="W11" s="3">
        <f>[1]!s_fa_netprofitmargin($A11,W$1)</f>
        <v>3.6905000000000001</v>
      </c>
      <c r="X11" s="3">
        <f>[1]!s_fa_netprofitmargin($A11,X$1)</f>
        <v>3.6057000000000001</v>
      </c>
      <c r="Y11" s="3">
        <f>[1]!s_fa_netprofitmargin($A11,Y$1)</f>
        <v>3.2399</v>
      </c>
    </row>
    <row r="12" spans="1:25">
      <c r="A12" s="8" t="s">
        <v>10</v>
      </c>
      <c r="B12" s="1" t="s">
        <v>53</v>
      </c>
      <c r="C12" s="3">
        <f ca="1">[1]!s_fa_netprofitmargin($A12,C$1)</f>
        <v>8.3856999999999999</v>
      </c>
      <c r="D12" s="3">
        <f>[1]!s_fa_netprofitmargin($A12,D$1)</f>
        <v>8.3856999999999999</v>
      </c>
      <c r="E12" s="3">
        <f>[1]!s_fa_netprofitmargin($A12,E$1)</f>
        <v>9.6332000000000004</v>
      </c>
      <c r="F12" s="3">
        <f>[1]!s_fa_netprofitmargin($A12,F$1)</f>
        <v>6.8592000000000004</v>
      </c>
      <c r="G12" s="3">
        <f>[1]!s_fa_netprofitmargin($A12,G$1)</f>
        <v>8.3942999999999994</v>
      </c>
      <c r="H12" s="3">
        <f>[1]!s_fa_netprofitmargin($A12,H$1)</f>
        <v>7.7359999999999998</v>
      </c>
      <c r="I12" s="3">
        <f>[1]!s_fa_netprofitmargin($A12,I$1)</f>
        <v>5.8198999999999996</v>
      </c>
      <c r="J12" s="3">
        <f>[1]!s_fa_netprofitmargin($A12,J$1)</f>
        <v>4.9440999999999997</v>
      </c>
      <c r="K12" s="3">
        <f>[1]!s_fa_netprofitmargin($A12,K$1)</f>
        <v>6.3621999999999996</v>
      </c>
      <c r="L12" s="3">
        <f>[1]!s_fa_netprofitmargin($A12,L$1)</f>
        <v>6.3593999999999999</v>
      </c>
      <c r="M12" s="3">
        <f>[1]!s_fa_netprofitmargin($A12,M$1)</f>
        <v>5.1544999999999996</v>
      </c>
      <c r="N12" s="3">
        <f>[1]!s_fa_netprofitmargin($A12,N$1)</f>
        <v>4.6731999999999996</v>
      </c>
      <c r="O12" s="3">
        <f>[1]!s_fa_netprofitmargin($A12,O$1)</f>
        <v>6.4840999999999998</v>
      </c>
      <c r="P12" s="3">
        <f>[1]!s_fa_netprofitmargin($A12,P$1)</f>
        <v>6.4896000000000003</v>
      </c>
      <c r="Q12" s="3">
        <f>[1]!s_fa_netprofitmargin($A12,Q$1)</f>
        <v>5.1666999999999996</v>
      </c>
      <c r="R12" s="3">
        <f>[1]!s_fa_netprofitmargin($A12,R$1)</f>
        <v>6.8792</v>
      </c>
      <c r="S12" s="3">
        <f>[1]!s_fa_netprofitmargin($A12,S$1)</f>
        <v>7.1973000000000003</v>
      </c>
      <c r="T12" s="3">
        <f>[1]!s_fa_netprofitmargin($A12,T$1)</f>
        <v>7.0293999999999999</v>
      </c>
      <c r="U12" s="3">
        <f>[1]!s_fa_netprofitmargin($A12,U$1)</f>
        <v>5.5094000000000003</v>
      </c>
      <c r="V12" s="3">
        <f>[1]!s_fa_netprofitmargin($A12,V$1)</f>
        <v>5.9480000000000004</v>
      </c>
      <c r="W12" s="3">
        <f>[1]!s_fa_netprofitmargin($A12,W$1)</f>
        <v>6.7031999999999998</v>
      </c>
      <c r="X12" s="3">
        <f>[1]!s_fa_netprofitmargin($A12,X$1)</f>
        <v>6.7671999999999999</v>
      </c>
      <c r="Y12" s="3">
        <f>[1]!s_fa_netprofitmargin($A12,Y$1)</f>
        <v>5.8301999999999996</v>
      </c>
    </row>
    <row r="13" spans="1:25">
      <c r="A13" s="8" t="s">
        <v>11</v>
      </c>
      <c r="B13" s="1" t="s">
        <v>54</v>
      </c>
      <c r="C13" s="3">
        <f ca="1">[1]!s_fa_netprofitmargin($A13,C$1)</f>
        <v>8.4634999999999998</v>
      </c>
      <c r="D13" s="3">
        <f>[1]!s_fa_netprofitmargin($A13,D$1)</f>
        <v>8.4634999999999998</v>
      </c>
      <c r="E13" s="3">
        <f>[1]!s_fa_netprofitmargin($A13,E$1)</f>
        <v>8.1671999999999993</v>
      </c>
      <c r="F13" s="3">
        <f>[1]!s_fa_netprofitmargin($A13,F$1)</f>
        <v>7.2012999999999998</v>
      </c>
      <c r="G13" s="3">
        <f>[1]!s_fa_netprofitmargin($A13,G$1)</f>
        <v>7.5540000000000003</v>
      </c>
      <c r="H13" s="3">
        <f>[1]!s_fa_netprofitmargin($A13,H$1)</f>
        <v>8.1003000000000007</v>
      </c>
      <c r="I13" s="3">
        <f>[1]!s_fa_netprofitmargin($A13,I$1)</f>
        <v>10.485099999999999</v>
      </c>
      <c r="J13" s="3">
        <f>[1]!s_fa_netprofitmargin($A13,J$1)</f>
        <v>3.9539</v>
      </c>
      <c r="K13" s="3">
        <f>[1]!s_fa_netprofitmargin($A13,K$1)</f>
        <v>4.9897999999999998</v>
      </c>
      <c r="L13" s="3">
        <f>[1]!s_fa_netprofitmargin($A13,L$1)</f>
        <v>5.5635000000000003</v>
      </c>
      <c r="M13" s="3">
        <f>[1]!s_fa_netprofitmargin($A13,M$1)</f>
        <v>2.8974000000000002</v>
      </c>
      <c r="N13" s="3">
        <f>[1]!s_fa_netprofitmargin($A13,N$1)</f>
        <v>3.7486999999999999</v>
      </c>
      <c r="O13" s="3">
        <f>[1]!s_fa_netprofitmargin($A13,O$1)</f>
        <v>3.8574000000000002</v>
      </c>
      <c r="P13" s="3">
        <f>[1]!s_fa_netprofitmargin($A13,P$1)</f>
        <v>3.8936000000000002</v>
      </c>
      <c r="Q13" s="3">
        <f>[1]!s_fa_netprofitmargin($A13,Q$1)</f>
        <v>2.5884999999999998</v>
      </c>
      <c r="R13" s="3">
        <f>[1]!s_fa_netprofitmargin($A13,R$1)</f>
        <v>3.097</v>
      </c>
      <c r="S13" s="3">
        <f>[1]!s_fa_netprofitmargin($A13,S$1)</f>
        <v>3.4110999999999998</v>
      </c>
      <c r="T13" s="3">
        <f>[1]!s_fa_netprofitmargin($A13,T$1)</f>
        <v>3.3157000000000001</v>
      </c>
      <c r="U13" s="3">
        <f>[1]!s_fa_netprofitmargin($A13,U$1)</f>
        <v>2.4340999999999999</v>
      </c>
      <c r="V13" s="3">
        <f>[1]!s_fa_netprofitmargin($A13,V$1)</f>
        <v>3.7357999999999998</v>
      </c>
      <c r="W13" s="3">
        <f>[1]!s_fa_netprofitmargin($A13,W$1)</f>
        <v>3.8481999999999998</v>
      </c>
      <c r="X13" s="3">
        <f>[1]!s_fa_netprofitmargin($A13,X$1)</f>
        <v>3.9007999999999998</v>
      </c>
      <c r="Y13" s="3">
        <f>[1]!s_fa_netprofitmargin($A13,Y$1)</f>
        <v>2.1151</v>
      </c>
    </row>
    <row r="14" spans="1:25">
      <c r="A14" s="8" t="s">
        <v>12</v>
      </c>
      <c r="B14" s="1" t="s">
        <v>55</v>
      </c>
      <c r="C14" s="3">
        <f ca="1">[1]!s_fa_netprofitmargin($A14,C$1)</f>
        <v>4.6063000000000001</v>
      </c>
      <c r="D14" s="3">
        <f>[1]!s_fa_netprofitmargin($A14,D$1)</f>
        <v>4.6063000000000001</v>
      </c>
      <c r="E14" s="3">
        <f>[1]!s_fa_netprofitmargin($A14,E$1)</f>
        <v>4.6338999999999997</v>
      </c>
      <c r="F14" s="3">
        <f>[1]!s_fa_netprofitmargin($A14,F$1)</f>
        <v>3.0676999999999999</v>
      </c>
      <c r="G14" s="3">
        <f>[1]!s_fa_netprofitmargin($A14,G$1)</f>
        <v>3.7328999999999999</v>
      </c>
      <c r="H14" s="3">
        <f>[1]!s_fa_netprofitmargin($A14,H$1)</f>
        <v>3.1697000000000002</v>
      </c>
      <c r="I14" s="3">
        <f>[1]!s_fa_netprofitmargin($A14,I$1)</f>
        <v>1.0553999999999999</v>
      </c>
      <c r="J14" s="3">
        <f>[1]!s_fa_netprofitmargin($A14,J$1)</f>
        <v>3.1214</v>
      </c>
      <c r="K14" s="3">
        <f>[1]!s_fa_netprofitmargin($A14,K$1)</f>
        <v>4.1334</v>
      </c>
      <c r="L14" s="3">
        <f>[1]!s_fa_netprofitmargin($A14,L$1)</f>
        <v>4.3704999999999998</v>
      </c>
      <c r="M14" s="3">
        <f>[1]!s_fa_netprofitmargin($A14,M$1)</f>
        <v>4.6821000000000002</v>
      </c>
      <c r="N14" s="3">
        <f>[1]!s_fa_netprofitmargin($A14,N$1)</f>
        <v>4.4675000000000002</v>
      </c>
      <c r="O14" s="3">
        <f>[1]!s_fa_netprofitmargin($A14,O$1)</f>
        <v>5.4107000000000003</v>
      </c>
      <c r="P14" s="3">
        <f>[1]!s_fa_netprofitmargin($A14,P$1)</f>
        <v>5.6821999999999999</v>
      </c>
      <c r="Q14" s="3">
        <f>[1]!s_fa_netprofitmargin($A14,Q$1)</f>
        <v>5.8224</v>
      </c>
      <c r="R14" s="3">
        <f>[1]!s_fa_netprofitmargin($A14,R$1)</f>
        <v>4.87</v>
      </c>
      <c r="S14" s="3">
        <f>[1]!s_fa_netprofitmargin($A14,S$1)</f>
        <v>5.0682</v>
      </c>
      <c r="T14" s="3">
        <f>[1]!s_fa_netprofitmargin($A14,T$1)</f>
        <v>5.26</v>
      </c>
      <c r="U14" s="3">
        <f>[1]!s_fa_netprofitmargin($A14,U$1)</f>
        <v>5.5564999999999998</v>
      </c>
      <c r="V14" s="3">
        <f>[1]!s_fa_netprofitmargin($A14,V$1)</f>
        <v>5.2554999999999996</v>
      </c>
      <c r="W14" s="3">
        <f>[1]!s_fa_netprofitmargin($A14,W$1)</f>
        <v>5.4748999999999999</v>
      </c>
      <c r="X14" s="3">
        <f>[1]!s_fa_netprofitmargin($A14,X$1)</f>
        <v>5.6593</v>
      </c>
      <c r="Y14" s="3">
        <f>[1]!s_fa_netprofitmargin($A14,Y$1)</f>
        <v>5.6904000000000003</v>
      </c>
    </row>
    <row r="15" spans="1:25">
      <c r="A15" s="8" t="s">
        <v>13</v>
      </c>
      <c r="B15" s="1" t="s">
        <v>56</v>
      </c>
      <c r="C15" s="3">
        <f ca="1">[1]!s_fa_netprofitmargin($A15,C$1)</f>
        <v>1.9149</v>
      </c>
      <c r="D15" s="3">
        <f>[1]!s_fa_netprofitmargin($A15,D$1)</f>
        <v>1.9149</v>
      </c>
      <c r="E15" s="3">
        <f>[1]!s_fa_netprofitmargin($A15,E$1)</f>
        <v>2.4897999999999998</v>
      </c>
      <c r="F15" s="3">
        <f>[1]!s_fa_netprofitmargin($A15,F$1)</f>
        <v>0.8125</v>
      </c>
      <c r="G15" s="3">
        <f>[1]!s_fa_netprofitmargin($A15,G$1)</f>
        <v>1.8831</v>
      </c>
      <c r="H15" s="3">
        <f>[1]!s_fa_netprofitmargin($A15,H$1)</f>
        <v>1.7977000000000001</v>
      </c>
      <c r="I15" s="3">
        <f>[1]!s_fa_netprofitmargin($A15,I$1)</f>
        <v>1.0999000000000001</v>
      </c>
      <c r="J15" s="3">
        <f>[1]!s_fa_netprofitmargin($A15,J$1)</f>
        <v>2.1854</v>
      </c>
      <c r="K15" s="3">
        <f>[1]!s_fa_netprofitmargin($A15,K$1)</f>
        <v>3.3576000000000001</v>
      </c>
      <c r="L15" s="3">
        <f>[1]!s_fa_netprofitmargin($A15,L$1)</f>
        <v>3.3502999999999998</v>
      </c>
      <c r="M15" s="3">
        <f>[1]!s_fa_netprofitmargin($A15,M$1)</f>
        <v>3.5070999999999999</v>
      </c>
      <c r="N15" s="3">
        <f>[1]!s_fa_netprofitmargin($A15,N$1)</f>
        <v>3.0480999999999998</v>
      </c>
      <c r="O15" s="3">
        <f>[1]!s_fa_netprofitmargin($A15,O$1)</f>
        <v>3.8700999999999999</v>
      </c>
      <c r="P15" s="3">
        <f>[1]!s_fa_netprofitmargin($A15,P$1)</f>
        <v>4.4595000000000002</v>
      </c>
      <c r="Q15" s="3">
        <f>[1]!s_fa_netprofitmargin($A15,Q$1)</f>
        <v>3.835</v>
      </c>
      <c r="R15" s="3">
        <f>[1]!s_fa_netprofitmargin($A15,R$1)</f>
        <v>2.8797999999999999</v>
      </c>
      <c r="S15" s="3">
        <f>[1]!s_fa_netprofitmargin($A15,S$1)</f>
        <v>2.8443000000000001</v>
      </c>
      <c r="T15" s="3">
        <f>[1]!s_fa_netprofitmargin($A15,T$1)</f>
        <v>3.0213000000000001</v>
      </c>
      <c r="U15" s="3">
        <f>[1]!s_fa_netprofitmargin($A15,U$1)</f>
        <v>3.2124999999999999</v>
      </c>
      <c r="V15" s="3">
        <f>[1]!s_fa_netprofitmargin($A15,V$1)</f>
        <v>2.5747</v>
      </c>
      <c r="W15" s="3">
        <f>[1]!s_fa_netprofitmargin($A15,W$1)</f>
        <v>2.5253999999999999</v>
      </c>
      <c r="X15" s="3">
        <f>[1]!s_fa_netprofitmargin($A15,X$1)</f>
        <v>2.8403999999999998</v>
      </c>
      <c r="Y15" s="3">
        <f>[1]!s_fa_netprofitmargin($A15,Y$1)</f>
        <v>2.8489</v>
      </c>
    </row>
    <row r="16" spans="1:25">
      <c r="A16" s="8" t="s">
        <v>14</v>
      </c>
      <c r="B16" s="1" t="s">
        <v>57</v>
      </c>
      <c r="C16" s="3">
        <f ca="1">[1]!s_fa_netprofitmargin($A16,C$1)</f>
        <v>8.6601999999999997</v>
      </c>
      <c r="D16" s="3">
        <f>[1]!s_fa_netprofitmargin($A16,D$1)</f>
        <v>8.6601999999999997</v>
      </c>
      <c r="E16" s="3">
        <f>[1]!s_fa_netprofitmargin($A16,E$1)</f>
        <v>7.4246999999999996</v>
      </c>
      <c r="F16" s="3">
        <f>[1]!s_fa_netprofitmargin($A16,F$1)</f>
        <v>2.1305999999999998</v>
      </c>
      <c r="G16" s="3">
        <f>[1]!s_fa_netprofitmargin($A16,G$1)</f>
        <v>4.0042999999999997</v>
      </c>
      <c r="H16" s="3">
        <f>[1]!s_fa_netprofitmargin($A16,H$1)</f>
        <v>-3.6147</v>
      </c>
      <c r="I16" s="3">
        <f>[1]!s_fa_netprofitmargin($A16,I$1)</f>
        <v>-9.3803000000000001</v>
      </c>
      <c r="J16" s="3">
        <f>[1]!s_fa_netprofitmargin($A16,J$1)</f>
        <v>7.4237000000000002</v>
      </c>
      <c r="K16" s="3">
        <f>[1]!s_fa_netprofitmargin($A16,K$1)</f>
        <v>10.5816</v>
      </c>
      <c r="L16" s="3">
        <f>[1]!s_fa_netprofitmargin($A16,L$1)</f>
        <v>10.984999999999999</v>
      </c>
      <c r="M16" s="3">
        <f>[1]!s_fa_netprofitmargin($A16,M$1)</f>
        <v>11.505699999999999</v>
      </c>
      <c r="N16" s="3">
        <f>[1]!s_fa_netprofitmargin($A16,N$1)</f>
        <v>8.0663999999999998</v>
      </c>
      <c r="O16" s="3">
        <f>[1]!s_fa_netprofitmargin($A16,O$1)</f>
        <v>9.9231999999999996</v>
      </c>
      <c r="P16" s="3">
        <f>[1]!s_fa_netprofitmargin($A16,P$1)</f>
        <v>9.4049999999999994</v>
      </c>
      <c r="Q16" s="3">
        <f>[1]!s_fa_netprofitmargin($A16,Q$1)</f>
        <v>8.3940999999999999</v>
      </c>
      <c r="R16" s="3">
        <f>[1]!s_fa_netprofitmargin($A16,R$1)</f>
        <v>8.5704999999999991</v>
      </c>
      <c r="S16" s="3">
        <f>[1]!s_fa_netprofitmargin($A16,S$1)</f>
        <v>9.1997</v>
      </c>
      <c r="T16" s="3">
        <f>[1]!s_fa_netprofitmargin($A16,T$1)</f>
        <v>8.7040000000000006</v>
      </c>
      <c r="U16" s="3">
        <f>[1]!s_fa_netprofitmargin($A16,U$1)</f>
        <v>7.3380000000000001</v>
      </c>
      <c r="V16" s="3">
        <f>[1]!s_fa_netprofitmargin($A16,V$1)</f>
        <v>8.0808</v>
      </c>
      <c r="W16" s="3">
        <f>[1]!s_fa_netprofitmargin($A16,W$1)</f>
        <v>8.9535999999999998</v>
      </c>
      <c r="X16" s="3">
        <f>[1]!s_fa_netprofitmargin($A16,X$1)</f>
        <v>8.6827000000000005</v>
      </c>
      <c r="Y16" s="3">
        <f>[1]!s_fa_netprofitmargin($A16,Y$1)</f>
        <v>8.6552000000000007</v>
      </c>
    </row>
    <row r="17" spans="1:25">
      <c r="A17" s="8" t="s">
        <v>15</v>
      </c>
      <c r="B17" s="1" t="s">
        <v>58</v>
      </c>
      <c r="C17" s="3">
        <f ca="1">[1]!s_fa_netprofitmargin($A17,C$1)</f>
        <v>7.0079000000000002</v>
      </c>
      <c r="D17" s="3">
        <f>[1]!s_fa_netprofitmargin($A17,D$1)</f>
        <v>7.0079000000000002</v>
      </c>
      <c r="E17" s="3">
        <f>[1]!s_fa_netprofitmargin($A17,E$1)</f>
        <v>6.4238999999999997</v>
      </c>
      <c r="F17" s="3">
        <f>[1]!s_fa_netprofitmargin($A17,F$1)</f>
        <v>7.5145</v>
      </c>
      <c r="G17" s="3">
        <f>[1]!s_fa_netprofitmargin($A17,G$1)</f>
        <v>7.4730999999999996</v>
      </c>
      <c r="H17" s="3">
        <f>[1]!s_fa_netprofitmargin($A17,H$1)</f>
        <v>6.7394999999999996</v>
      </c>
      <c r="I17" s="3">
        <f>[1]!s_fa_netprofitmargin($A17,I$1)</f>
        <v>4.3765000000000001</v>
      </c>
      <c r="J17" s="3">
        <f>[1]!s_fa_netprofitmargin($A17,J$1)</f>
        <v>6.9081999999999999</v>
      </c>
      <c r="K17" s="3">
        <f>[1]!s_fa_netprofitmargin($A17,K$1)</f>
        <v>8.1893999999999991</v>
      </c>
      <c r="L17" s="3">
        <f>[1]!s_fa_netprofitmargin($A17,L$1)</f>
        <v>8.0664999999999996</v>
      </c>
      <c r="M17" s="3">
        <f>[1]!s_fa_netprofitmargin($A17,M$1)</f>
        <v>6.8274999999999997</v>
      </c>
      <c r="N17" s="3">
        <f>[1]!s_fa_netprofitmargin($A17,N$1)</f>
        <v>5.5236999999999998</v>
      </c>
      <c r="O17" s="3">
        <f>[1]!s_fa_netprofitmargin($A17,O$1)</f>
        <v>7.1406999999999998</v>
      </c>
      <c r="P17" s="3">
        <f>[1]!s_fa_netprofitmargin($A17,P$1)</f>
        <v>7.4615</v>
      </c>
      <c r="Q17" s="3">
        <f>[1]!s_fa_netprofitmargin($A17,Q$1)</f>
        <v>6.6254</v>
      </c>
      <c r="R17" s="3">
        <f>[1]!s_fa_netprofitmargin($A17,R$1)</f>
        <v>7.2039999999999997</v>
      </c>
      <c r="S17" s="3">
        <f>[1]!s_fa_netprofitmargin($A17,S$1)</f>
        <v>7.1188000000000002</v>
      </c>
      <c r="T17" s="3">
        <f>[1]!s_fa_netprofitmargin($A17,T$1)</f>
        <v>7.2651000000000003</v>
      </c>
      <c r="U17" s="3">
        <f>[1]!s_fa_netprofitmargin($A17,U$1)</f>
        <v>6.5364000000000004</v>
      </c>
      <c r="V17" s="3">
        <f>[1]!s_fa_netprofitmargin($A17,V$1)</f>
        <v>7.1894999999999998</v>
      </c>
      <c r="W17" s="3">
        <f>[1]!s_fa_netprofitmargin($A17,W$1)</f>
        <v>7.5575999999999999</v>
      </c>
      <c r="X17" s="3">
        <f>[1]!s_fa_netprofitmargin($A17,X$1)</f>
        <v>7.9824999999999999</v>
      </c>
      <c r="Y17" s="3">
        <f>[1]!s_fa_netprofitmargin($A17,Y$1)</f>
        <v>7.4630999999999998</v>
      </c>
    </row>
    <row r="18" spans="1:25">
      <c r="A18" s="8" t="s">
        <v>16</v>
      </c>
      <c r="B18" s="1" t="s">
        <v>59</v>
      </c>
      <c r="C18" s="3">
        <f ca="1">[1]!s_fa_netprofitmargin($A18,C$1)</f>
        <v>6.5792000000000002</v>
      </c>
      <c r="D18" s="3">
        <f>[1]!s_fa_netprofitmargin($A18,D$1)</f>
        <v>6.5792000000000002</v>
      </c>
      <c r="E18" s="3">
        <f>[1]!s_fa_netprofitmargin($A18,E$1)</f>
        <v>6.5552000000000001</v>
      </c>
      <c r="F18" s="3">
        <f>[1]!s_fa_netprofitmargin($A18,F$1)</f>
        <v>3.649</v>
      </c>
      <c r="G18" s="3">
        <f>[1]!s_fa_netprofitmargin($A18,G$1)</f>
        <v>5.3277000000000001</v>
      </c>
      <c r="H18" s="3">
        <f>[1]!s_fa_netprofitmargin($A18,H$1)</f>
        <v>5.0799000000000003</v>
      </c>
      <c r="I18" s="3">
        <f>[1]!s_fa_netprofitmargin($A18,I$1)</f>
        <v>3.3730000000000002</v>
      </c>
      <c r="J18" s="3">
        <f>[1]!s_fa_netprofitmargin($A18,J$1)</f>
        <v>3.9876</v>
      </c>
      <c r="K18" s="3">
        <f>[1]!s_fa_netprofitmargin($A18,K$1)</f>
        <v>6.6439000000000004</v>
      </c>
      <c r="L18" s="3">
        <f>[1]!s_fa_netprofitmargin($A18,L$1)</f>
        <v>7.0522999999999998</v>
      </c>
      <c r="M18" s="3">
        <f>[1]!s_fa_netprofitmargin($A18,M$1)</f>
        <v>8.702</v>
      </c>
      <c r="N18" s="3">
        <f>[1]!s_fa_netprofitmargin($A18,N$1)</f>
        <v>4.4387999999999996</v>
      </c>
      <c r="O18" s="3">
        <f>[1]!s_fa_netprofitmargin($A18,O$1)</f>
        <v>7.6258999999999997</v>
      </c>
      <c r="P18" s="3">
        <f>[1]!s_fa_netprofitmargin($A18,P$1)</f>
        <v>7.8341000000000003</v>
      </c>
      <c r="Q18" s="3">
        <f>[1]!s_fa_netprofitmargin($A18,Q$1)</f>
        <v>7.8952</v>
      </c>
      <c r="R18" s="3">
        <f>[1]!s_fa_netprofitmargin($A18,R$1)</f>
        <v>7.3311999999999999</v>
      </c>
      <c r="S18" s="3">
        <f>[1]!s_fa_netprofitmargin($A18,S$1)</f>
        <v>9.0854999999999997</v>
      </c>
      <c r="T18" s="3">
        <f>[1]!s_fa_netprofitmargin($A18,T$1)</f>
        <v>9.6814999999999998</v>
      </c>
      <c r="U18" s="3">
        <f>[1]!s_fa_netprofitmargin($A18,U$1)</f>
        <v>10.3195</v>
      </c>
      <c r="V18" s="3">
        <f>[1]!s_fa_netprofitmargin($A18,V$1)</f>
        <v>8.3766999999999996</v>
      </c>
      <c r="W18" s="3">
        <f>[1]!s_fa_netprofitmargin($A18,W$1)</f>
        <v>9.1920999999999999</v>
      </c>
      <c r="X18" s="3">
        <f>[1]!s_fa_netprofitmargin($A18,X$1)</f>
        <v>10.1374</v>
      </c>
      <c r="Y18" s="3">
        <f>[1]!s_fa_netprofitmargin($A18,Y$1)</f>
        <v>11.9232</v>
      </c>
    </row>
    <row r="19" spans="1:25">
      <c r="A19" s="8" t="s">
        <v>17</v>
      </c>
      <c r="B19" s="1" t="s">
        <v>60</v>
      </c>
      <c r="C19" s="3">
        <f ca="1">[1]!s_fa_netprofitmargin($A19,C$1)</f>
        <v>11.8947</v>
      </c>
      <c r="D19" s="3">
        <f>[1]!s_fa_netprofitmargin($A19,D$1)</f>
        <v>11.8947</v>
      </c>
      <c r="E19" s="3">
        <f>[1]!s_fa_netprofitmargin($A19,E$1)</f>
        <v>11.2788</v>
      </c>
      <c r="F19" s="3">
        <f>[1]!s_fa_netprofitmargin($A19,F$1)</f>
        <v>7.4016999999999999</v>
      </c>
      <c r="G19" s="3">
        <f>[1]!s_fa_netprofitmargin($A19,G$1)</f>
        <v>10.2658</v>
      </c>
      <c r="H19" s="3">
        <f>[1]!s_fa_netprofitmargin($A19,H$1)</f>
        <v>10.084899999999999</v>
      </c>
      <c r="I19" s="3">
        <f>[1]!s_fa_netprofitmargin($A19,I$1)</f>
        <v>8.0473999999999997</v>
      </c>
      <c r="J19" s="3">
        <f>[1]!s_fa_netprofitmargin($A19,J$1)</f>
        <v>6.0163000000000002</v>
      </c>
      <c r="K19" s="3">
        <f>[1]!s_fa_netprofitmargin($A19,K$1)</f>
        <v>8.6359999999999992</v>
      </c>
      <c r="L19" s="3">
        <f>[1]!s_fa_netprofitmargin($A19,L$1)</f>
        <v>8.8896999999999995</v>
      </c>
      <c r="M19" s="3">
        <f>[1]!s_fa_netprofitmargin($A19,M$1)</f>
        <v>8.8186</v>
      </c>
      <c r="N19" s="3">
        <f>[1]!s_fa_netprofitmargin($A19,N$1)</f>
        <v>7.4890999999999996</v>
      </c>
      <c r="O19" s="3">
        <f>[1]!s_fa_netprofitmargin($A19,O$1)</f>
        <v>9.0253999999999994</v>
      </c>
      <c r="P19" s="3">
        <f>[1]!s_fa_netprofitmargin($A19,P$1)</f>
        <v>9.5597999999999992</v>
      </c>
      <c r="Q19" s="3">
        <f>[1]!s_fa_netprofitmargin($A19,Q$1)</f>
        <v>9.2703000000000007</v>
      </c>
      <c r="R19" s="3">
        <f>[1]!s_fa_netprofitmargin($A19,R$1)</f>
        <v>9.4015000000000004</v>
      </c>
      <c r="S19" s="3">
        <f>[1]!s_fa_netprofitmargin($A19,S$1)</f>
        <v>10.2073</v>
      </c>
      <c r="T19" s="3">
        <f>[1]!s_fa_netprofitmargin($A19,T$1)</f>
        <v>9.4936000000000007</v>
      </c>
      <c r="U19" s="3">
        <f>[1]!s_fa_netprofitmargin($A19,U$1)</f>
        <v>8.9496000000000002</v>
      </c>
      <c r="V19" s="3">
        <f>[1]!s_fa_netprofitmargin($A19,V$1)</f>
        <v>8.6710999999999991</v>
      </c>
      <c r="W19" s="3">
        <f>[1]!s_fa_netprofitmargin($A19,W$1)</f>
        <v>9.2028999999999996</v>
      </c>
      <c r="X19" s="3">
        <f>[1]!s_fa_netprofitmargin($A19,X$1)</f>
        <v>9.3171999999999997</v>
      </c>
      <c r="Y19" s="3">
        <f>[1]!s_fa_netprofitmargin($A19,Y$1)</f>
        <v>8.4326000000000008</v>
      </c>
    </row>
    <row r="20" spans="1:25">
      <c r="A20" s="8" t="s">
        <v>18</v>
      </c>
      <c r="B20" s="1" t="s">
        <v>61</v>
      </c>
      <c r="C20" s="3">
        <f ca="1">[1]!s_fa_netprofitmargin($A20,C$1)</f>
        <v>20.0076</v>
      </c>
      <c r="D20" s="3">
        <f>[1]!s_fa_netprofitmargin($A20,D$1)</f>
        <v>20.0076</v>
      </c>
      <c r="E20" s="3">
        <f>[1]!s_fa_netprofitmargin($A20,E$1)</f>
        <v>21.700399999999998</v>
      </c>
      <c r="F20" s="3">
        <f>[1]!s_fa_netprofitmargin($A20,F$1)</f>
        <v>18.547999999999998</v>
      </c>
      <c r="G20" s="3">
        <f>[1]!s_fa_netprofitmargin($A20,G$1)</f>
        <v>19.523499999999999</v>
      </c>
      <c r="H20" s="3">
        <f>[1]!s_fa_netprofitmargin($A20,H$1)</f>
        <v>19.960799999999999</v>
      </c>
      <c r="I20" s="3">
        <f>[1]!s_fa_netprofitmargin($A20,I$1)</f>
        <v>21.3675</v>
      </c>
      <c r="J20" s="3">
        <f>[1]!s_fa_netprofitmargin($A20,J$1)</f>
        <v>17.3521</v>
      </c>
      <c r="K20" s="3">
        <f>[1]!s_fa_netprofitmargin($A20,K$1)</f>
        <v>18.196400000000001</v>
      </c>
      <c r="L20" s="3">
        <f>[1]!s_fa_netprofitmargin($A20,L$1)</f>
        <v>18.819500000000001</v>
      </c>
      <c r="M20" s="3">
        <f>[1]!s_fa_netprofitmargin($A20,M$1)</f>
        <v>20.9922</v>
      </c>
      <c r="N20" s="3">
        <f>[1]!s_fa_netprofitmargin($A20,N$1)</f>
        <v>16.8918</v>
      </c>
      <c r="O20" s="3">
        <f>[1]!s_fa_netprofitmargin($A20,O$1)</f>
        <v>17.5229</v>
      </c>
      <c r="P20" s="3">
        <f>[1]!s_fa_netprofitmargin($A20,P$1)</f>
        <v>17.965699999999998</v>
      </c>
      <c r="Q20" s="3">
        <f>[1]!s_fa_netprofitmargin($A20,Q$1)</f>
        <v>20.063400000000001</v>
      </c>
      <c r="R20" s="3">
        <f>[1]!s_fa_netprofitmargin($A20,R$1)</f>
        <v>15.5243</v>
      </c>
      <c r="S20" s="3">
        <f>[1]!s_fa_netprofitmargin($A20,S$1)</f>
        <v>16.2606</v>
      </c>
      <c r="T20" s="3">
        <f>[1]!s_fa_netprofitmargin($A20,T$1)</f>
        <v>16.021599999999999</v>
      </c>
      <c r="U20" s="3">
        <f>[1]!s_fa_netprofitmargin($A20,U$1)</f>
        <v>17.739699999999999</v>
      </c>
      <c r="V20" s="3">
        <f>[1]!s_fa_netprofitmargin($A20,V$1)</f>
        <v>13.782500000000001</v>
      </c>
      <c r="W20" s="3">
        <f>[1]!s_fa_netprofitmargin($A20,W$1)</f>
        <v>14.556900000000001</v>
      </c>
      <c r="X20" s="3">
        <f>[1]!s_fa_netprofitmargin($A20,X$1)</f>
        <v>15.174799999999999</v>
      </c>
      <c r="Y20" s="3">
        <f>[1]!s_fa_netprofitmargin($A20,Y$1)</f>
        <v>17.729500000000002</v>
      </c>
    </row>
    <row r="21" spans="1:25">
      <c r="A21" s="8" t="s">
        <v>19</v>
      </c>
      <c r="B21" s="1" t="s">
        <v>62</v>
      </c>
      <c r="C21" s="3">
        <f ca="1">[1]!s_fa_netprofitmargin($A21,C$1)</f>
        <v>3.2254</v>
      </c>
      <c r="D21" s="3">
        <f>[1]!s_fa_netprofitmargin($A21,D$1)</f>
        <v>3.2254</v>
      </c>
      <c r="E21" s="3">
        <f>[1]!s_fa_netprofitmargin($A21,E$1)</f>
        <v>7.4348000000000001</v>
      </c>
      <c r="F21" s="3">
        <f>[1]!s_fa_netprofitmargin($A21,F$1)</f>
        <v>10.3879</v>
      </c>
      <c r="G21" s="3">
        <f>[1]!s_fa_netprofitmargin($A21,G$1)</f>
        <v>13.187099999999999</v>
      </c>
      <c r="H21" s="3">
        <f>[1]!s_fa_netprofitmargin($A21,H$1)</f>
        <v>11.925800000000001</v>
      </c>
      <c r="I21" s="3">
        <f>[1]!s_fa_netprofitmargin($A21,I$1)</f>
        <v>11.5114</v>
      </c>
      <c r="J21" s="3">
        <f>[1]!s_fa_netprofitmargin($A21,J$1)</f>
        <v>8.3358000000000008</v>
      </c>
      <c r="K21" s="3">
        <f>[1]!s_fa_netprofitmargin($A21,K$1)</f>
        <v>7.0719000000000003</v>
      </c>
      <c r="L21" s="3">
        <f>[1]!s_fa_netprofitmargin($A21,L$1)</f>
        <v>4.1151</v>
      </c>
      <c r="M21" s="3">
        <f>[1]!s_fa_netprofitmargin($A21,M$1)</f>
        <v>1.6423000000000001</v>
      </c>
      <c r="N21" s="3">
        <f>[1]!s_fa_netprofitmargin($A21,N$1)</f>
        <v>2.0270999999999999</v>
      </c>
      <c r="O21" s="3">
        <f>[1]!s_fa_netprofitmargin($A21,O$1)</f>
        <v>5.0129999999999999</v>
      </c>
      <c r="P21" s="3">
        <f>[1]!s_fa_netprofitmargin($A21,P$1)</f>
        <v>3.5358000000000001</v>
      </c>
      <c r="Q21" s="3">
        <f>[1]!s_fa_netprofitmargin($A21,Q$1)</f>
        <v>6.3322000000000003</v>
      </c>
      <c r="R21" s="3">
        <f>[1]!s_fa_netprofitmargin($A21,R$1)</f>
        <v>4.5818000000000003</v>
      </c>
      <c r="S21" s="3">
        <f>[1]!s_fa_netprofitmargin($A21,S$1)</f>
        <v>6.5186999999999999</v>
      </c>
      <c r="T21" s="3">
        <f>[1]!s_fa_netprofitmargin($A21,T$1)</f>
        <v>5.9653</v>
      </c>
      <c r="U21" s="3">
        <f>[1]!s_fa_netprofitmargin($A21,U$1)</f>
        <v>6.9729999999999999</v>
      </c>
      <c r="V21" s="3">
        <f>[1]!s_fa_netprofitmargin($A21,V$1)</f>
        <v>7.7588999999999997</v>
      </c>
      <c r="W21" s="3">
        <f>[1]!s_fa_netprofitmargin($A21,W$1)</f>
        <v>9.1928000000000001</v>
      </c>
      <c r="X21" s="3">
        <f>[1]!s_fa_netprofitmargin($A21,X$1)</f>
        <v>9.4436</v>
      </c>
      <c r="Y21" s="3">
        <f>[1]!s_fa_netprofitmargin($A21,Y$1)</f>
        <v>5.4055999999999997</v>
      </c>
    </row>
    <row r="22" spans="1:25">
      <c r="A22" s="8" t="s">
        <v>20</v>
      </c>
      <c r="B22" s="1" t="s">
        <v>63</v>
      </c>
      <c r="C22" s="3">
        <f ca="1">[1]!s_fa_netprofitmargin($A22,C$1)</f>
        <v>33.992699999999999</v>
      </c>
      <c r="D22" s="3">
        <f>[1]!s_fa_netprofitmargin($A22,D$1)</f>
        <v>33.992699999999999</v>
      </c>
      <c r="E22" s="3">
        <f>[1]!s_fa_netprofitmargin($A22,E$1)</f>
        <v>35.283999999999999</v>
      </c>
      <c r="F22" s="3">
        <f>[1]!s_fa_netprofitmargin($A22,F$1)</f>
        <v>32.084299999999999</v>
      </c>
      <c r="G22" s="3">
        <f>[1]!s_fa_netprofitmargin($A22,G$1)</f>
        <v>32.401600000000002</v>
      </c>
      <c r="H22" s="3">
        <f>[1]!s_fa_netprofitmargin($A22,H$1)</f>
        <v>31.915099999999999</v>
      </c>
      <c r="I22" s="3">
        <f>[1]!s_fa_netprofitmargin($A22,I$1)</f>
        <v>35.384900000000002</v>
      </c>
      <c r="J22" s="3">
        <f>[1]!s_fa_netprofitmargin($A22,J$1)</f>
        <v>34.357199999999999</v>
      </c>
      <c r="K22" s="3">
        <f>[1]!s_fa_netprofitmargin($A22,K$1)</f>
        <v>37.6053</v>
      </c>
      <c r="L22" s="3">
        <f>[1]!s_fa_netprofitmargin($A22,L$1)</f>
        <v>38.085900000000002</v>
      </c>
      <c r="M22" s="3">
        <f>[1]!s_fa_netprofitmargin($A22,M$1)</f>
        <v>36.138199999999998</v>
      </c>
      <c r="N22" s="3">
        <f>[1]!s_fa_netprofitmargin($A22,N$1)</f>
        <v>35.504300000000001</v>
      </c>
      <c r="O22" s="3">
        <f>[1]!s_fa_netprofitmargin($A22,O$1)</f>
        <v>39.113599999999998</v>
      </c>
      <c r="P22" s="3">
        <f>[1]!s_fa_netprofitmargin($A22,P$1)</f>
        <v>40.044899999999998</v>
      </c>
      <c r="Q22" s="3">
        <f>[1]!s_fa_netprofitmargin($A22,Q$1)</f>
        <v>39.121499999999997</v>
      </c>
      <c r="R22" s="3">
        <f>[1]!s_fa_netprofitmargin($A22,R$1)</f>
        <v>36.4694</v>
      </c>
      <c r="S22" s="3">
        <f>[1]!s_fa_netprofitmargin($A22,S$1)</f>
        <v>39.558100000000003</v>
      </c>
      <c r="T22" s="3">
        <f>[1]!s_fa_netprofitmargin($A22,T$1)</f>
        <v>40.054200000000002</v>
      </c>
      <c r="U22" s="3">
        <f>[1]!s_fa_netprofitmargin($A22,U$1)</f>
        <v>38.123100000000001</v>
      </c>
      <c r="V22" s="3">
        <f>[1]!s_fa_netprofitmargin($A22,V$1)</f>
        <v>35.8994</v>
      </c>
      <c r="W22" s="3">
        <f>[1]!s_fa_netprofitmargin($A22,W$1)</f>
        <v>38.382899999999999</v>
      </c>
      <c r="X22" s="3">
        <f>[1]!s_fa_netprofitmargin($A22,X$1)</f>
        <v>38.081699999999998</v>
      </c>
      <c r="Y22" s="3">
        <f>[1]!s_fa_netprofitmargin($A22,Y$1)</f>
        <v>36.222999999999999</v>
      </c>
    </row>
    <row r="23" spans="1:25">
      <c r="A23" s="8" t="s">
        <v>21</v>
      </c>
      <c r="B23" s="1" t="s">
        <v>64</v>
      </c>
      <c r="C23" s="3">
        <f ca="1">[1]!s_fa_netprofitmargin($A23,C$1)</f>
        <v>12.556800000000001</v>
      </c>
      <c r="D23" s="3">
        <f>[1]!s_fa_netprofitmargin($A23,D$1)</f>
        <v>12.556800000000001</v>
      </c>
      <c r="E23" s="3">
        <f>[1]!s_fa_netprofitmargin($A23,E$1)</f>
        <v>11.109299999999999</v>
      </c>
      <c r="F23" s="3">
        <f>[1]!s_fa_netprofitmargin($A23,F$1)</f>
        <v>10.424899999999999</v>
      </c>
      <c r="G23" s="3">
        <f>[1]!s_fa_netprofitmargin($A23,G$1)</f>
        <v>10.7744</v>
      </c>
      <c r="H23" s="3">
        <f>[1]!s_fa_netprofitmargin($A23,H$1)</f>
        <v>8.6838999999999995</v>
      </c>
      <c r="I23" s="3">
        <f>[1]!s_fa_netprofitmargin($A23,I$1)</f>
        <v>9.6818000000000008</v>
      </c>
      <c r="J23" s="3">
        <f>[1]!s_fa_netprofitmargin($A23,J$1)</f>
        <v>12.2217</v>
      </c>
      <c r="K23" s="3">
        <f>[1]!s_fa_netprofitmargin($A23,K$1)</f>
        <v>13.673299999999999</v>
      </c>
      <c r="L23" s="3">
        <f>[1]!s_fa_netprofitmargin($A23,L$1)</f>
        <v>13.804500000000001</v>
      </c>
      <c r="M23" s="3">
        <f>[1]!s_fa_netprofitmargin($A23,M$1)</f>
        <v>12.305</v>
      </c>
      <c r="N23" s="3">
        <f>[1]!s_fa_netprofitmargin($A23,N$1)</f>
        <v>8.8759999999999994</v>
      </c>
      <c r="O23" s="3">
        <f>[1]!s_fa_netprofitmargin($A23,O$1)</f>
        <v>10.3339</v>
      </c>
      <c r="P23" s="3">
        <f>[1]!s_fa_netprofitmargin($A23,P$1)</f>
        <v>10.4344</v>
      </c>
      <c r="Q23" s="3">
        <f>[1]!s_fa_netprofitmargin($A23,Q$1)</f>
        <v>9.2454000000000001</v>
      </c>
      <c r="R23" s="3">
        <f>[1]!s_fa_netprofitmargin($A23,R$1)</f>
        <v>11.8626</v>
      </c>
      <c r="S23" s="3">
        <f>[1]!s_fa_netprofitmargin($A23,S$1)</f>
        <v>11.5099</v>
      </c>
      <c r="T23" s="3">
        <f>[1]!s_fa_netprofitmargin($A23,T$1)</f>
        <v>10.1854</v>
      </c>
      <c r="U23" s="3">
        <f>[1]!s_fa_netprofitmargin($A23,U$1)</f>
        <v>8.5648</v>
      </c>
      <c r="V23" s="3">
        <f>[1]!s_fa_netprofitmargin($A23,V$1)</f>
        <v>10.561400000000001</v>
      </c>
      <c r="W23" s="3">
        <f>[1]!s_fa_netprofitmargin($A23,W$1)</f>
        <v>10.9786</v>
      </c>
      <c r="X23" s="3">
        <f>[1]!s_fa_netprofitmargin($A23,X$1)</f>
        <v>10.6393</v>
      </c>
      <c r="Y23" s="3">
        <f>[1]!s_fa_netprofitmargin($A23,Y$1)</f>
        <v>8.6127000000000002</v>
      </c>
    </row>
    <row r="24" spans="1:25">
      <c r="A24" s="8" t="s">
        <v>22</v>
      </c>
      <c r="B24" s="1" t="s">
        <v>65</v>
      </c>
      <c r="C24" s="3">
        <f ca="1">[1]!s_fa_netprofitmargin($A24,C$1)</f>
        <v>7.1646000000000001</v>
      </c>
      <c r="D24" s="3">
        <f>[1]!s_fa_netprofitmargin($A24,D$1)</f>
        <v>7.1646000000000001</v>
      </c>
      <c r="E24" s="3">
        <f>[1]!s_fa_netprofitmargin($A24,E$1)</f>
        <v>5.4147999999999996</v>
      </c>
      <c r="F24" s="3">
        <f>[1]!s_fa_netprofitmargin($A24,F$1)</f>
        <v>9.3623999999999992</v>
      </c>
      <c r="G24" s="3">
        <f>[1]!s_fa_netprofitmargin($A24,G$1)</f>
        <v>10.1227</v>
      </c>
      <c r="H24" s="3">
        <f>[1]!s_fa_netprofitmargin($A24,H$1)</f>
        <v>10.696</v>
      </c>
      <c r="I24" s="3">
        <f>[1]!s_fa_netprofitmargin($A24,I$1)</f>
        <v>8.0769000000000002</v>
      </c>
      <c r="J24" s="3">
        <f>[1]!s_fa_netprofitmargin($A24,J$1)</f>
        <v>11.1966</v>
      </c>
      <c r="K24" s="3">
        <f>[1]!s_fa_netprofitmargin($A24,K$1)</f>
        <v>11.868399999999999</v>
      </c>
      <c r="L24" s="3">
        <f>[1]!s_fa_netprofitmargin($A24,L$1)</f>
        <v>13.0985</v>
      </c>
      <c r="M24" s="3">
        <f>[1]!s_fa_netprofitmargin($A24,M$1)</f>
        <v>13.0152</v>
      </c>
      <c r="N24" s="3">
        <f>[1]!s_fa_netprofitmargin($A24,N$1)</f>
        <v>12.240399999999999</v>
      </c>
      <c r="O24" s="3">
        <f>[1]!s_fa_netprofitmargin($A24,O$1)</f>
        <v>12.444000000000001</v>
      </c>
      <c r="P24" s="3">
        <f>[1]!s_fa_netprofitmargin($A24,P$1)</f>
        <v>13.5814</v>
      </c>
      <c r="Q24" s="3">
        <f>[1]!s_fa_netprofitmargin($A24,Q$1)</f>
        <v>12.599</v>
      </c>
      <c r="R24" s="3">
        <f>[1]!s_fa_netprofitmargin($A24,R$1)</f>
        <v>12.459099999999999</v>
      </c>
      <c r="S24" s="3">
        <f>[1]!s_fa_netprofitmargin($A24,S$1)</f>
        <v>11.3935</v>
      </c>
      <c r="T24" s="3">
        <f>[1]!s_fa_netprofitmargin($A24,T$1)</f>
        <v>11.7377</v>
      </c>
      <c r="U24" s="3">
        <f>[1]!s_fa_netprofitmargin($A24,U$1)</f>
        <v>10.845000000000001</v>
      </c>
      <c r="V24" s="3">
        <f>[1]!s_fa_netprofitmargin($A24,V$1)</f>
        <v>10.4551</v>
      </c>
      <c r="W24" s="3">
        <f>[1]!s_fa_netprofitmargin($A24,W$1)</f>
        <v>9.4366000000000003</v>
      </c>
      <c r="X24" s="3">
        <f>[1]!s_fa_netprofitmargin($A24,X$1)</f>
        <v>9.75</v>
      </c>
      <c r="Y24" s="3">
        <f>[1]!s_fa_netprofitmargin($A24,Y$1)</f>
        <v>8.8611000000000004</v>
      </c>
    </row>
    <row r="25" spans="1:25">
      <c r="A25" s="8" t="s">
        <v>23</v>
      </c>
      <c r="B25" s="1" t="s">
        <v>66</v>
      </c>
      <c r="C25" s="3">
        <f ca="1">[1]!s_fa_netprofitmargin($A25,C$1)</f>
        <v>6.5792999999999999</v>
      </c>
      <c r="D25" s="3">
        <f>[1]!s_fa_netprofitmargin($A25,D$1)</f>
        <v>6.5792999999999999</v>
      </c>
      <c r="E25" s="3">
        <f>[1]!s_fa_netprofitmargin($A25,E$1)</f>
        <v>4.1401000000000003</v>
      </c>
      <c r="F25" s="3">
        <f>[1]!s_fa_netprofitmargin($A25,F$1)</f>
        <v>0.68779999999999997</v>
      </c>
      <c r="G25" s="3">
        <f>[1]!s_fa_netprofitmargin($A25,G$1)</f>
        <v>2.0179999999999998</v>
      </c>
      <c r="H25" s="3">
        <f>[1]!s_fa_netprofitmargin($A25,H$1)</f>
        <v>0.1057</v>
      </c>
      <c r="I25" s="3">
        <f>[1]!s_fa_netprofitmargin($A25,I$1)</f>
        <v>-1.7282</v>
      </c>
      <c r="J25" s="3">
        <f>[1]!s_fa_netprofitmargin($A25,J$1)</f>
        <v>5.0991</v>
      </c>
      <c r="K25" s="3">
        <f>[1]!s_fa_netprofitmargin($A25,K$1)</f>
        <v>6.202</v>
      </c>
      <c r="L25" s="3">
        <f>[1]!s_fa_netprofitmargin($A25,L$1)</f>
        <v>6.4710000000000001</v>
      </c>
      <c r="M25" s="3">
        <f>[1]!s_fa_netprofitmargin($A25,M$1)</f>
        <v>7.3079000000000001</v>
      </c>
      <c r="N25" s="3">
        <f>[1]!s_fa_netprofitmargin($A25,N$1)</f>
        <v>5.0297000000000001</v>
      </c>
      <c r="O25" s="3">
        <f>[1]!s_fa_netprofitmargin($A25,O$1)</f>
        <v>5.8577000000000004</v>
      </c>
      <c r="P25" s="3">
        <f>[1]!s_fa_netprofitmargin($A25,P$1)</f>
        <v>5.8262999999999998</v>
      </c>
      <c r="Q25" s="3">
        <f>[1]!s_fa_netprofitmargin($A25,Q$1)</f>
        <v>6.7099000000000002</v>
      </c>
      <c r="R25" s="3">
        <f>[1]!s_fa_netprofitmargin($A25,R$1)</f>
        <v>6.3840000000000003</v>
      </c>
      <c r="S25" s="3">
        <f>[1]!s_fa_netprofitmargin($A25,S$1)</f>
        <v>7.3106</v>
      </c>
      <c r="T25" s="3">
        <f>[1]!s_fa_netprofitmargin($A25,T$1)</f>
        <v>6.5922000000000001</v>
      </c>
      <c r="U25" s="3">
        <f>[1]!s_fa_netprofitmargin($A25,U$1)</f>
        <v>6.585</v>
      </c>
      <c r="V25" s="3">
        <f>[1]!s_fa_netprofitmargin($A25,V$1)</f>
        <v>6.4469000000000003</v>
      </c>
      <c r="W25" s="3">
        <f>[1]!s_fa_netprofitmargin($A25,W$1)</f>
        <v>7.7805999999999997</v>
      </c>
      <c r="X25" s="3">
        <f>[1]!s_fa_netprofitmargin($A25,X$1)</f>
        <v>7.0216000000000003</v>
      </c>
      <c r="Y25" s="3">
        <f>[1]!s_fa_netprofitmargin($A25,Y$1)</f>
        <v>7.6402999999999999</v>
      </c>
    </row>
    <row r="26" spans="1:25">
      <c r="A26" s="8" t="s">
        <v>24</v>
      </c>
      <c r="B26" s="1" t="s">
        <v>67</v>
      </c>
      <c r="C26" s="3">
        <f ca="1">[1]!s_fa_netprofitmargin($A26,C$1)</f>
        <v>9.5803999999999991</v>
      </c>
      <c r="D26" s="3">
        <f>[1]!s_fa_netprofitmargin($A26,D$1)</f>
        <v>9.5803999999999991</v>
      </c>
      <c r="E26" s="3">
        <f>[1]!s_fa_netprofitmargin($A26,E$1)</f>
        <v>8.2213999999999992</v>
      </c>
      <c r="F26" s="3">
        <f>[1]!s_fa_netprofitmargin($A26,F$1)</f>
        <v>6.0164</v>
      </c>
      <c r="G26" s="3">
        <f>[1]!s_fa_netprofitmargin($A26,G$1)</f>
        <v>6.7065999999999999</v>
      </c>
      <c r="H26" s="3">
        <f>[1]!s_fa_netprofitmargin($A26,H$1)</f>
        <v>5.7759</v>
      </c>
      <c r="I26" s="3">
        <f>[1]!s_fa_netprofitmargin($A26,I$1)</f>
        <v>4.0288000000000004</v>
      </c>
      <c r="J26" s="3">
        <f>[1]!s_fa_netprofitmargin($A26,J$1)</f>
        <v>3.9838</v>
      </c>
      <c r="K26" s="3">
        <f>[1]!s_fa_netprofitmargin($A26,K$1)</f>
        <v>5.6555</v>
      </c>
      <c r="L26" s="3">
        <f>[1]!s_fa_netprofitmargin($A26,L$1)</f>
        <v>5.0339999999999998</v>
      </c>
      <c r="M26" s="3">
        <f>[1]!s_fa_netprofitmargin($A26,M$1)</f>
        <v>4.5975000000000001</v>
      </c>
      <c r="N26" s="3">
        <f>[1]!s_fa_netprofitmargin($A26,N$1)</f>
        <v>3.7429999999999999</v>
      </c>
      <c r="O26" s="3">
        <f>[1]!s_fa_netprofitmargin($A26,O$1)</f>
        <v>6.4217000000000004</v>
      </c>
      <c r="P26" s="3">
        <f>[1]!s_fa_netprofitmargin($A26,P$1)</f>
        <v>6.4211999999999998</v>
      </c>
      <c r="Q26" s="3">
        <f>[1]!s_fa_netprofitmargin($A26,Q$1)</f>
        <v>6.3448000000000002</v>
      </c>
      <c r="R26" s="3">
        <f>[1]!s_fa_netprofitmargin($A26,R$1)</f>
        <v>7.1898</v>
      </c>
      <c r="S26" s="3">
        <f>[1]!s_fa_netprofitmargin($A26,S$1)</f>
        <v>7.4721000000000002</v>
      </c>
      <c r="T26" s="3">
        <f>[1]!s_fa_netprofitmargin($A26,T$1)</f>
        <v>6.8875999999999999</v>
      </c>
      <c r="U26" s="3">
        <f>[1]!s_fa_netprofitmargin($A26,U$1)</f>
        <v>5.8574999999999999</v>
      </c>
      <c r="V26" s="3">
        <f>[1]!s_fa_netprofitmargin($A26,V$1)</f>
        <v>6.3075000000000001</v>
      </c>
      <c r="W26" s="3">
        <f>[1]!s_fa_netprofitmargin($A26,W$1)</f>
        <v>6.4458000000000002</v>
      </c>
      <c r="X26" s="3">
        <f>[1]!s_fa_netprofitmargin($A26,X$1)</f>
        <v>5.9688999999999997</v>
      </c>
      <c r="Y26" s="3">
        <f>[1]!s_fa_netprofitmargin($A26,Y$1)</f>
        <v>5.7089999999999996</v>
      </c>
    </row>
    <row r="27" spans="1:25">
      <c r="A27" s="8" t="s">
        <v>25</v>
      </c>
      <c r="B27" s="1" t="s">
        <v>68</v>
      </c>
      <c r="C27" s="3">
        <f ca="1">[1]!s_fa_netprofitmargin($A27,C$1)</f>
        <v>3.7029999999999998</v>
      </c>
      <c r="D27" s="3">
        <f>[1]!s_fa_netprofitmargin($A27,D$1)</f>
        <v>3.7029999999999998</v>
      </c>
      <c r="E27" s="3">
        <f>[1]!s_fa_netprofitmargin($A27,E$1)</f>
        <v>4.1143000000000001</v>
      </c>
      <c r="F27" s="3">
        <f>[1]!s_fa_netprofitmargin($A27,F$1)</f>
        <v>3.2818999999999998</v>
      </c>
      <c r="G27" s="3">
        <f>[1]!s_fa_netprofitmargin($A27,G$1)</f>
        <v>4.1558999999999999</v>
      </c>
      <c r="H27" s="3">
        <f>[1]!s_fa_netprofitmargin($A27,H$1)</f>
        <v>3.8214000000000001</v>
      </c>
      <c r="I27" s="3">
        <f>[1]!s_fa_netprofitmargin($A27,I$1)</f>
        <v>2.7320000000000002</v>
      </c>
      <c r="J27" s="3">
        <f>[1]!s_fa_netprofitmargin($A27,J$1)</f>
        <v>1.7529999999999999</v>
      </c>
      <c r="K27" s="3">
        <f>[1]!s_fa_netprofitmargin($A27,K$1)</f>
        <v>2.6919</v>
      </c>
      <c r="L27" s="3">
        <f>[1]!s_fa_netprofitmargin($A27,L$1)</f>
        <v>1.4196</v>
      </c>
      <c r="M27" s="3">
        <f>[1]!s_fa_netprofitmargin($A27,M$1)</f>
        <v>3.9620000000000002</v>
      </c>
      <c r="N27" s="3">
        <f>[1]!s_fa_netprofitmargin($A27,N$1)</f>
        <v>2.0621999999999998</v>
      </c>
      <c r="O27" s="3">
        <f>[1]!s_fa_netprofitmargin($A27,O$1)</f>
        <v>2.8652000000000002</v>
      </c>
      <c r="P27" s="3">
        <f>[1]!s_fa_netprofitmargin($A27,P$1)</f>
        <v>1.5927</v>
      </c>
      <c r="Q27" s="3">
        <f>[1]!s_fa_netprofitmargin($A27,Q$1)</f>
        <v>0.50729999999999997</v>
      </c>
      <c r="R27" s="3">
        <f>[1]!s_fa_netprofitmargin($A27,R$1)</f>
        <v>2.3523999999999998</v>
      </c>
      <c r="S27" s="3">
        <f>[1]!s_fa_netprofitmargin($A27,S$1)</f>
        <v>3.9127999999999998</v>
      </c>
      <c r="T27" s="3">
        <f>[1]!s_fa_netprofitmargin($A27,T$1)</f>
        <v>3.8542000000000001</v>
      </c>
      <c r="U27" s="3">
        <f>[1]!s_fa_netprofitmargin($A27,U$1)</f>
        <v>2.6495000000000002</v>
      </c>
      <c r="V27" s="3">
        <f>[1]!s_fa_netprofitmargin($A27,V$1)</f>
        <v>2.0516999999999999</v>
      </c>
      <c r="W27" s="3">
        <f>[1]!s_fa_netprofitmargin($A27,W$1)</f>
        <v>3.2578</v>
      </c>
      <c r="X27" s="3">
        <f>[1]!s_fa_netprofitmargin($A27,X$1)</f>
        <v>3.3216000000000001</v>
      </c>
      <c r="Y27" s="3">
        <f>[1]!s_fa_netprofitmargin($A27,Y$1)</f>
        <v>2.6120000000000001</v>
      </c>
    </row>
    <row r="28" spans="1:25">
      <c r="A28" s="8" t="s">
        <v>26</v>
      </c>
      <c r="B28" s="1" t="s">
        <v>69</v>
      </c>
      <c r="C28" s="3">
        <f ca="1">[1]!s_fa_netprofitmargin($A28,C$1)</f>
        <v>3.2206000000000001</v>
      </c>
      <c r="D28" s="3">
        <f>[1]!s_fa_netprofitmargin($A28,D$1)</f>
        <v>3.2206000000000001</v>
      </c>
      <c r="E28" s="3">
        <f>[1]!s_fa_netprofitmargin($A28,E$1)</f>
        <v>2.2012999999999998</v>
      </c>
      <c r="F28" s="3">
        <f>[1]!s_fa_netprofitmargin($A28,F$1)</f>
        <v>2.0905</v>
      </c>
      <c r="G28" s="3">
        <f>[1]!s_fa_netprofitmargin($A28,G$1)</f>
        <v>3.5034000000000001</v>
      </c>
      <c r="H28" s="3">
        <f>[1]!s_fa_netprofitmargin($A28,H$1)</f>
        <v>2.9634999999999998</v>
      </c>
      <c r="I28" s="3">
        <f>[1]!s_fa_netprofitmargin($A28,I$1)</f>
        <v>-0.58589999999999998</v>
      </c>
      <c r="J28" s="3">
        <f>[1]!s_fa_netprofitmargin($A28,J$1)</f>
        <v>1.9521999999999999</v>
      </c>
      <c r="K28" s="3">
        <f>[1]!s_fa_netprofitmargin($A28,K$1)</f>
        <v>5.4892000000000003</v>
      </c>
      <c r="L28" s="3">
        <f>[1]!s_fa_netprofitmargin($A28,L$1)</f>
        <v>8.0419</v>
      </c>
      <c r="M28" s="3">
        <f>[1]!s_fa_netprofitmargin($A28,M$1)</f>
        <v>6.0221999999999998</v>
      </c>
      <c r="N28" s="3">
        <f>[1]!s_fa_netprofitmargin($A28,N$1)</f>
        <v>3.8138999999999998</v>
      </c>
      <c r="O28" s="3">
        <f>[1]!s_fa_netprofitmargin($A28,O$1)</f>
        <v>6.6792999999999996</v>
      </c>
      <c r="P28" s="3">
        <f>[1]!s_fa_netprofitmargin($A28,P$1)</f>
        <v>6.5869</v>
      </c>
      <c r="Q28" s="3">
        <f>[1]!s_fa_netprofitmargin($A28,Q$1)</f>
        <v>4.1584000000000003</v>
      </c>
      <c r="R28" s="3">
        <f>[1]!s_fa_netprofitmargin($A28,R$1)</f>
        <v>7.2671999999999999</v>
      </c>
      <c r="S28" s="3">
        <f>[1]!s_fa_netprofitmargin($A28,S$1)</f>
        <v>6.6563999999999997</v>
      </c>
      <c r="T28" s="3">
        <f>[1]!s_fa_netprofitmargin($A28,T$1)</f>
        <v>6.2488999999999999</v>
      </c>
      <c r="U28" s="3">
        <f>[1]!s_fa_netprofitmargin($A28,U$1)</f>
        <v>4.5750000000000002</v>
      </c>
      <c r="V28" s="3">
        <f>[1]!s_fa_netprofitmargin($A28,V$1)</f>
        <v>9.5190999999999999</v>
      </c>
      <c r="W28" s="3">
        <f>[1]!s_fa_netprofitmargin($A28,W$1)</f>
        <v>10.3093</v>
      </c>
      <c r="X28" s="3">
        <f>[1]!s_fa_netprofitmargin($A28,X$1)</f>
        <v>10.5869</v>
      </c>
      <c r="Y28" s="3">
        <f>[1]!s_fa_netprofitmargin($A28,Y$1)</f>
        <v>12.9529</v>
      </c>
    </row>
    <row r="29" spans="1:25">
      <c r="A29" s="8" t="s">
        <v>27</v>
      </c>
      <c r="B29" s="1" t="s">
        <v>70</v>
      </c>
      <c r="C29" s="3">
        <f ca="1">[1]!s_fa_netprofitmargin($A29,C$1)</f>
        <v>11.254200000000001</v>
      </c>
      <c r="D29" s="3">
        <f>[1]!s_fa_netprofitmargin($A29,D$1)</f>
        <v>11.254200000000001</v>
      </c>
      <c r="E29" s="3">
        <f>[1]!s_fa_netprofitmargin($A29,E$1)</f>
        <v>9.0431000000000008</v>
      </c>
      <c r="F29" s="3">
        <f>[1]!s_fa_netprofitmargin($A29,F$1)</f>
        <v>0.76970000000000005</v>
      </c>
      <c r="G29" s="3">
        <f>[1]!s_fa_netprofitmargin($A29,G$1)</f>
        <v>8.7055000000000007</v>
      </c>
      <c r="H29" s="3">
        <f>[1]!s_fa_netprofitmargin($A29,H$1)</f>
        <v>8.0112000000000005</v>
      </c>
      <c r="I29" s="3">
        <f>[1]!s_fa_netprofitmargin($A29,I$1)</f>
        <v>5.5875000000000004</v>
      </c>
      <c r="J29" s="3">
        <f>[1]!s_fa_netprofitmargin($A29,J$1)</f>
        <v>-2.9034</v>
      </c>
      <c r="K29" s="3">
        <f>[1]!s_fa_netprofitmargin($A29,K$1)</f>
        <v>6.8272000000000004</v>
      </c>
      <c r="L29" s="3">
        <f>[1]!s_fa_netprofitmargin($A29,L$1)</f>
        <v>5.2283999999999997</v>
      </c>
      <c r="M29" s="3">
        <f>[1]!s_fa_netprofitmargin($A29,M$1)</f>
        <v>8.8419000000000008</v>
      </c>
      <c r="N29" s="3">
        <f>[1]!s_fa_netprofitmargin($A29,N$1)</f>
        <v>-2.9161999999999999</v>
      </c>
      <c r="O29" s="3">
        <f>[1]!s_fa_netprofitmargin($A29,O$1)</f>
        <v>9.8513000000000002</v>
      </c>
      <c r="P29" s="3">
        <f>[1]!s_fa_netprofitmargin($A29,P$1)</f>
        <v>11.3011</v>
      </c>
      <c r="Q29" s="3">
        <f>[1]!s_fa_netprofitmargin($A29,Q$1)</f>
        <v>12.448600000000001</v>
      </c>
      <c r="R29" s="3">
        <f>[1]!s_fa_netprofitmargin($A29,R$1)</f>
        <v>6.9250999999999996</v>
      </c>
      <c r="S29" s="3">
        <f>[1]!s_fa_netprofitmargin($A29,S$1)</f>
        <v>11.539300000000001</v>
      </c>
      <c r="T29" s="3">
        <f>[1]!s_fa_netprofitmargin($A29,T$1)</f>
        <v>13.060600000000001</v>
      </c>
      <c r="U29" s="3">
        <f>[1]!s_fa_netprofitmargin($A29,U$1)</f>
        <v>13.149900000000001</v>
      </c>
      <c r="V29" s="3">
        <f>[1]!s_fa_netprofitmargin($A29,V$1)</f>
        <v>10.842700000000001</v>
      </c>
      <c r="W29" s="3">
        <f>[1]!s_fa_netprofitmargin($A29,W$1)</f>
        <v>11.222099999999999</v>
      </c>
      <c r="X29" s="3">
        <f>[1]!s_fa_netprofitmargin($A29,X$1)</f>
        <v>11.194900000000001</v>
      </c>
      <c r="Y29" s="3">
        <f>[1]!s_fa_netprofitmargin($A29,Y$1)</f>
        <v>10.9802</v>
      </c>
    </row>
    <row r="30" spans="1:25">
      <c r="A30" s="8" t="s">
        <v>28</v>
      </c>
      <c r="B30" s="1" t="s">
        <v>71</v>
      </c>
      <c r="C30" s="3">
        <f ca="1">[1]!s_fa_netprofitmargin($A30,C$1)</f>
        <v>2.2719999999999998</v>
      </c>
      <c r="D30" s="3">
        <f>[1]!s_fa_netprofitmargin($A30,D$1)</f>
        <v>2.2719999999999998</v>
      </c>
      <c r="E30" s="3">
        <f>[1]!s_fa_netprofitmargin($A30,E$1)</f>
        <v>1.3046</v>
      </c>
      <c r="F30" s="3">
        <f>[1]!s_fa_netprofitmargin($A30,F$1)</f>
        <v>-0.26860000000000001</v>
      </c>
      <c r="G30" s="3">
        <f>[1]!s_fa_netprofitmargin($A30,G$1)</f>
        <v>1.8863000000000001</v>
      </c>
      <c r="H30" s="3">
        <f>[1]!s_fa_netprofitmargin($A30,H$1)</f>
        <v>1.6007</v>
      </c>
      <c r="I30" s="3">
        <f>[1]!s_fa_netprofitmargin($A30,I$1)</f>
        <v>0.70850000000000002</v>
      </c>
      <c r="J30" s="3">
        <f>[1]!s_fa_netprofitmargin($A30,J$1)</f>
        <v>2.3441999999999998</v>
      </c>
      <c r="K30" s="3">
        <f>[1]!s_fa_netprofitmargin($A30,K$1)</f>
        <v>2.9419</v>
      </c>
      <c r="L30" s="3">
        <f>[1]!s_fa_netprofitmargin($A30,L$1)</f>
        <v>3.2845</v>
      </c>
      <c r="M30" s="3">
        <f>[1]!s_fa_netprofitmargin($A30,M$1)</f>
        <v>2.0589</v>
      </c>
      <c r="N30" s="3">
        <f>[1]!s_fa_netprofitmargin($A30,N$1)</f>
        <v>0.3644</v>
      </c>
      <c r="O30" s="3">
        <f>[1]!s_fa_netprofitmargin($A30,O$1)</f>
        <v>2.7056</v>
      </c>
      <c r="P30" s="3">
        <f>[1]!s_fa_netprofitmargin($A30,P$1)</f>
        <v>2.8130000000000002</v>
      </c>
      <c r="Q30" s="3">
        <f>[1]!s_fa_netprofitmargin($A30,Q$1)</f>
        <v>1.5399</v>
      </c>
      <c r="R30" s="3">
        <f>[1]!s_fa_netprofitmargin($A30,R$1)</f>
        <v>5.8799000000000001</v>
      </c>
      <c r="S30" s="3">
        <f>[1]!s_fa_netprofitmargin($A30,S$1)</f>
        <v>6.7411000000000003</v>
      </c>
      <c r="T30" s="3">
        <f>[1]!s_fa_netprofitmargin($A30,T$1)</f>
        <v>6.8615000000000004</v>
      </c>
      <c r="U30" s="3">
        <f>[1]!s_fa_netprofitmargin($A30,U$1)</f>
        <v>4.2888000000000002</v>
      </c>
      <c r="V30" s="3">
        <f>[1]!s_fa_netprofitmargin($A30,V$1)</f>
        <v>5.1243999999999996</v>
      </c>
      <c r="W30" s="3">
        <f>[1]!s_fa_netprofitmargin($A30,W$1)</f>
        <v>6.6207000000000003</v>
      </c>
      <c r="X30" s="3">
        <f>[1]!s_fa_netprofitmargin($A30,X$1)</f>
        <v>6.0795000000000003</v>
      </c>
      <c r="Y30" s="3">
        <f>[1]!s_fa_netprofitmargin($A30,Y$1)</f>
        <v>4.5210999999999997</v>
      </c>
    </row>
    <row r="31" spans="1:25">
      <c r="A31" s="8" t="s">
        <v>29</v>
      </c>
      <c r="B31" s="1" t="s">
        <v>72</v>
      </c>
      <c r="C31" s="3">
        <f ca="1">[1]!s_fa_netprofitmargin($A31,C$1)</f>
        <v>12.466100000000001</v>
      </c>
      <c r="D31" s="3">
        <f>[1]!s_fa_netprofitmargin($A31,D$1)</f>
        <v>12.466100000000001</v>
      </c>
      <c r="E31" s="3">
        <f>[1]!s_fa_netprofitmargin($A31,E$1)</f>
        <v>10.361000000000001</v>
      </c>
      <c r="F31" s="3">
        <f>[1]!s_fa_netprofitmargin($A31,F$1)</f>
        <v>15.0928</v>
      </c>
      <c r="G31" s="3">
        <f>[1]!s_fa_netprofitmargin($A31,G$1)</f>
        <v>16.928599999999999</v>
      </c>
      <c r="H31" s="3">
        <f>[1]!s_fa_netprofitmargin($A31,H$1)</f>
        <v>14.6798</v>
      </c>
      <c r="I31" s="3">
        <f>[1]!s_fa_netprofitmargin($A31,I$1)</f>
        <v>10.2484</v>
      </c>
      <c r="J31" s="3">
        <f>[1]!s_fa_netprofitmargin($A31,J$1)</f>
        <v>8.8305000000000007</v>
      </c>
      <c r="K31" s="3" t="str">
        <f>[1]!s_fa_netprofitmargin($A31,K$1)</f>
        <v>#N/A</v>
      </c>
      <c r="L31" s="3" t="str">
        <f>[1]!s_fa_netprofitmargin($A31,L$1)</f>
        <v>#N/A</v>
      </c>
      <c r="M31" s="3" t="str">
        <f>[1]!s_fa_netprofitmargin($A31,M$1)</f>
        <v>#N/A</v>
      </c>
      <c r="N31" s="3" t="str">
        <f>[1]!s_fa_netprofitmargin($A31,N$1)</f>
        <v>#N/A</v>
      </c>
      <c r="O31" s="3" t="str">
        <f>[1]!s_fa_netprofitmargin($A31,O$1)</f>
        <v>#N/A</v>
      </c>
      <c r="P31" s="3" t="str">
        <f>[1]!s_fa_netprofitmargin($A31,P$1)</f>
        <v>#N/A</v>
      </c>
      <c r="Q31" s="3" t="str">
        <f>[1]!s_fa_netprofitmargin($A31,Q$1)</f>
        <v>#N/A</v>
      </c>
      <c r="R31" s="3" t="str">
        <f>[1]!s_fa_netprofitmargin($A31,R$1)</f>
        <v>#N/A</v>
      </c>
      <c r="S31" s="3" t="str">
        <f>[1]!s_fa_netprofitmargin($A31,S$1)</f>
        <v>#N/A</v>
      </c>
      <c r="T31" s="3" t="str">
        <f>[1]!s_fa_netprofitmargin($A31,T$1)</f>
        <v>#N/A</v>
      </c>
      <c r="U31" s="3" t="str">
        <f>[1]!s_fa_netprofitmargin($A31,U$1)</f>
        <v>#N/A</v>
      </c>
      <c r="V31" s="3" t="str">
        <f>[1]!s_fa_netprofitmargin($A31,V$1)</f>
        <v>#N/A</v>
      </c>
      <c r="W31" s="3" t="str">
        <f>[1]!s_fa_netprofitmargin($A31,W$1)</f>
        <v>#N/A</v>
      </c>
      <c r="X31" s="3" t="str">
        <f>[1]!s_fa_netprofitmargin($A31,X$1)</f>
        <v>#N/A</v>
      </c>
      <c r="Y31" s="3" t="str">
        <f>[1]!s_fa_netprofitmargin($A31,Y$1)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G1" display="销售净利率" xr:uid="{413443DB-C30E-9545-B9EB-A303C25AE5CD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B24E-759E-014D-A10C-A49AC759A8E2}">
  <sheetPr codeName="Sheet5"/>
  <dimension ref="A1:Y31"/>
  <sheetViews>
    <sheetView workbookViewId="0">
      <selection activeCell="B1" sqref="A1:B1"/>
    </sheetView>
  </sheetViews>
  <sheetFormatPr baseColWidth="10" defaultRowHeight="16"/>
  <cols>
    <col min="3" max="3" width="12" bestFit="1" customWidth="1"/>
    <col min="4" max="25" width="12.1640625" bestFit="1" customWidth="1"/>
  </cols>
  <sheetData>
    <row r="1" spans="1:25">
      <c r="A1" s="6" t="s">
        <v>33</v>
      </c>
      <c r="B1" s="14">
        <f ca="1">TODAY()</f>
        <v>44440</v>
      </c>
      <c r="C1" s="4">
        <f ca="1">[1]!TDays("2016-01-01",B1,"Days=Alldays","Period=Q","Direction=H","Order=D","cols=23;rows=1")</f>
        <v>44440</v>
      </c>
      <c r="D1" s="2">
        <v>44377</v>
      </c>
      <c r="E1" s="2">
        <v>44286</v>
      </c>
      <c r="F1" s="2">
        <v>44196</v>
      </c>
      <c r="G1" s="2">
        <v>44104</v>
      </c>
      <c r="H1" s="2">
        <v>44012</v>
      </c>
      <c r="I1" s="2">
        <v>43921</v>
      </c>
      <c r="J1" s="2">
        <v>43830</v>
      </c>
      <c r="K1" s="2">
        <v>43738</v>
      </c>
      <c r="L1" s="2">
        <v>43646</v>
      </c>
      <c r="M1" s="2">
        <v>43555</v>
      </c>
      <c r="N1" s="2">
        <v>43465</v>
      </c>
      <c r="O1" s="2">
        <v>43373</v>
      </c>
      <c r="P1" s="2">
        <v>43281</v>
      </c>
      <c r="Q1" s="2">
        <v>43190</v>
      </c>
      <c r="R1" s="2">
        <v>43100</v>
      </c>
      <c r="S1" s="2">
        <v>43008</v>
      </c>
      <c r="T1" s="2">
        <v>42916</v>
      </c>
      <c r="U1" s="2">
        <v>42825</v>
      </c>
      <c r="V1" s="2">
        <v>42735</v>
      </c>
      <c r="W1" s="2">
        <v>42643</v>
      </c>
      <c r="X1" s="2">
        <v>42551</v>
      </c>
      <c r="Y1" s="2">
        <v>42460</v>
      </c>
    </row>
    <row r="2" spans="1:25">
      <c r="A2" s="1" t="s">
        <v>0</v>
      </c>
      <c r="B2" s="1" t="s">
        <v>43</v>
      </c>
      <c r="C2" s="3">
        <f ca="1">[1]!s_fa_debttoassets($A2,C$1)</f>
        <v>51.6509</v>
      </c>
      <c r="D2" s="3">
        <f>[1]!s_fa_debttoassets($A2,D$1)</f>
        <v>51.6509</v>
      </c>
      <c r="E2" s="3">
        <f>[1]!s_fa_debttoassets($A2,E$1)</f>
        <v>50.823700000000002</v>
      </c>
      <c r="F2" s="3">
        <f>[1]!s_fa_debttoassets($A2,F$1)</f>
        <v>50.577199999999998</v>
      </c>
      <c r="G2" s="3">
        <f>[1]!s_fa_debttoassets($A2,G$1)</f>
        <v>52.308100000000003</v>
      </c>
      <c r="H2" s="3">
        <f>[1]!s_fa_debttoassets($A2,H$1)</f>
        <v>53.484499999999997</v>
      </c>
      <c r="I2" s="3">
        <f>[1]!s_fa_debttoassets($A2,I$1)</f>
        <v>52.866500000000002</v>
      </c>
      <c r="J2" s="3">
        <f>[1]!s_fa_debttoassets($A2,J$1)</f>
        <v>51.367400000000004</v>
      </c>
      <c r="K2" s="3">
        <f>[1]!s_fa_debttoassets($A2,K$1)</f>
        <v>51.841700000000003</v>
      </c>
      <c r="L2" s="3">
        <f>[1]!s_fa_debttoassets($A2,L$1)</f>
        <v>51.368699999999997</v>
      </c>
      <c r="M2" s="3">
        <f>[1]!s_fa_debttoassets($A2,M$1)</f>
        <v>50.588299999999997</v>
      </c>
      <c r="N2" s="3">
        <f>[1]!s_fa_debttoassets($A2,N$1)</f>
        <v>47.0488</v>
      </c>
      <c r="O2" s="3">
        <f>[1]!s_fa_debttoassets($A2,O$1)</f>
        <v>47.905900000000003</v>
      </c>
      <c r="P2" s="3">
        <f>[1]!s_fa_debttoassets($A2,P$1)</f>
        <v>45.926299999999998</v>
      </c>
      <c r="Q2" s="3">
        <f>[1]!s_fa_debttoassets($A2,Q$1)</f>
        <v>45.252000000000002</v>
      </c>
      <c r="R2" s="3">
        <f>[1]!s_fa_debttoassets($A2,R$1)</f>
        <v>46.024799999999999</v>
      </c>
      <c r="S2" s="3">
        <f>[1]!s_fa_debttoassets($A2,S$1)</f>
        <v>45.334200000000003</v>
      </c>
      <c r="T2" s="3">
        <f>[1]!s_fa_debttoassets($A2,T$1)</f>
        <v>44.964799999999997</v>
      </c>
      <c r="U2" s="3">
        <f>[1]!s_fa_debttoassets($A2,U$1)</f>
        <v>44.491999999999997</v>
      </c>
      <c r="V2" s="3">
        <f>[1]!s_fa_debttoassets($A2,V$1)</f>
        <v>45.086300000000001</v>
      </c>
      <c r="W2" s="3">
        <f>[1]!s_fa_debttoassets($A2,W$1)</f>
        <v>44.105200000000004</v>
      </c>
      <c r="X2" s="3">
        <f>[1]!s_fa_debttoassets($A2,X$1)</f>
        <v>44.743099999999998</v>
      </c>
      <c r="Y2" s="3">
        <f>[1]!s_fa_debttoassets($A2,Y$1)</f>
        <v>44.921799999999998</v>
      </c>
    </row>
    <row r="3" spans="1:25">
      <c r="A3" s="1" t="s">
        <v>1</v>
      </c>
      <c r="B3" s="1" t="s">
        <v>44</v>
      </c>
      <c r="C3" s="3">
        <f ca="1">[1]!s_fa_debttoassets($A3,C$1)</f>
        <v>50.403599999999997</v>
      </c>
      <c r="D3" s="3">
        <f>[1]!s_fa_debttoassets($A3,D$1)</f>
        <v>50.403599999999997</v>
      </c>
      <c r="E3" s="3">
        <f>[1]!s_fa_debttoassets($A3,E$1)</f>
        <v>48.707900000000002</v>
      </c>
      <c r="F3" s="3">
        <f>[1]!s_fa_debttoassets($A3,F$1)</f>
        <v>49.195999999999998</v>
      </c>
      <c r="G3" s="3">
        <f>[1]!s_fa_debttoassets($A3,G$1)</f>
        <v>48.655099999999997</v>
      </c>
      <c r="H3" s="3">
        <f>[1]!s_fa_debttoassets($A3,H$1)</f>
        <v>50.286799999999999</v>
      </c>
      <c r="I3" s="3">
        <f>[1]!s_fa_debttoassets($A3,I$1)</f>
        <v>49.953200000000002</v>
      </c>
      <c r="J3" s="3">
        <f>[1]!s_fa_debttoassets($A3,J$1)</f>
        <v>49.656599999999997</v>
      </c>
      <c r="K3" s="3">
        <f>[1]!s_fa_debttoassets($A3,K$1)</f>
        <v>47.502099999999999</v>
      </c>
      <c r="L3" s="3">
        <f>[1]!s_fa_debttoassets($A3,L$1)</f>
        <v>48.713700000000003</v>
      </c>
      <c r="M3" s="3">
        <f>[1]!s_fa_debttoassets($A3,M$1)</f>
        <v>47.835500000000003</v>
      </c>
      <c r="N3" s="3">
        <f>[1]!s_fa_debttoassets($A3,N$1)</f>
        <v>49.823</v>
      </c>
      <c r="O3" s="3">
        <f>[1]!s_fa_debttoassets($A3,O$1)</f>
        <v>49.9694</v>
      </c>
      <c r="P3" s="3">
        <f>[1]!s_fa_debttoassets($A3,P$1)</f>
        <v>50.691200000000002</v>
      </c>
      <c r="Q3" s="3">
        <f>[1]!s_fa_debttoassets($A3,Q$1)</f>
        <v>49.823399999999999</v>
      </c>
      <c r="R3" s="3">
        <f>[1]!s_fa_debttoassets($A3,R$1)</f>
        <v>51.421399999999998</v>
      </c>
      <c r="S3" s="3">
        <f>[1]!s_fa_debttoassets($A3,S$1)</f>
        <v>51.432899999999997</v>
      </c>
      <c r="T3" s="3">
        <f>[1]!s_fa_debttoassets($A3,T$1)</f>
        <v>53.7637</v>
      </c>
      <c r="U3" s="3">
        <f>[1]!s_fa_debttoassets($A3,U$1)</f>
        <v>51.304099999999998</v>
      </c>
      <c r="V3" s="3">
        <f>[1]!s_fa_debttoassets($A3,V$1)</f>
        <v>52.127299999999998</v>
      </c>
      <c r="W3" s="3">
        <f>[1]!s_fa_debttoassets($A3,W$1)</f>
        <v>53.0657</v>
      </c>
      <c r="X3" s="3">
        <f>[1]!s_fa_debttoassets($A3,X$1)</f>
        <v>53.5946</v>
      </c>
      <c r="Y3" s="3">
        <f>[1]!s_fa_debttoassets($A3,Y$1)</f>
        <v>53.887</v>
      </c>
    </row>
    <row r="4" spans="1:25">
      <c r="A4" s="1" t="s">
        <v>2</v>
      </c>
      <c r="B4" s="1" t="s">
        <v>45</v>
      </c>
      <c r="C4" s="3">
        <f ca="1">[1]!s_fa_debttoassets($A4,C$1)</f>
        <v>55.039700000000003</v>
      </c>
      <c r="D4" s="3">
        <f>[1]!s_fa_debttoassets($A4,D$1)</f>
        <v>55.039700000000003</v>
      </c>
      <c r="E4" s="3">
        <f>[1]!s_fa_debttoassets($A4,E$1)</f>
        <v>56.218600000000002</v>
      </c>
      <c r="F4" s="3">
        <f>[1]!s_fa_debttoassets($A4,F$1)</f>
        <v>55.724899999999998</v>
      </c>
      <c r="G4" s="3">
        <f>[1]!s_fa_debttoassets($A4,G$1)</f>
        <v>57.933399999999999</v>
      </c>
      <c r="H4" s="3">
        <f>[1]!s_fa_debttoassets($A4,H$1)</f>
        <v>58.187100000000001</v>
      </c>
      <c r="I4" s="3">
        <f>[1]!s_fa_debttoassets($A4,I$1)</f>
        <v>57.872199999999999</v>
      </c>
      <c r="J4" s="3">
        <f>[1]!s_fa_debttoassets($A4,J$1)</f>
        <v>56.509700000000002</v>
      </c>
      <c r="K4" s="3">
        <f>[1]!s_fa_debttoassets($A4,K$1)</f>
        <v>57.656199999999998</v>
      </c>
      <c r="L4" s="3">
        <f>[1]!s_fa_debttoassets($A4,L$1)</f>
        <v>57.131100000000004</v>
      </c>
      <c r="M4" s="3">
        <f>[1]!s_fa_debttoassets($A4,M$1)</f>
        <v>56.760300000000001</v>
      </c>
      <c r="N4" s="3">
        <f>[1]!s_fa_debttoassets($A4,N$1)</f>
        <v>55.939500000000002</v>
      </c>
      <c r="O4" s="3">
        <f>[1]!s_fa_debttoassets($A4,O$1)</f>
        <v>55.495100000000001</v>
      </c>
      <c r="P4" s="3">
        <f>[1]!s_fa_debttoassets($A4,P$1)</f>
        <v>56.606999999999999</v>
      </c>
      <c r="Q4" s="3">
        <f>[1]!s_fa_debttoassets($A4,Q$1)</f>
        <v>57.080300000000001</v>
      </c>
      <c r="R4" s="3">
        <f>[1]!s_fa_debttoassets($A4,R$1)</f>
        <v>56.353400000000001</v>
      </c>
      <c r="S4" s="3">
        <f>[1]!s_fa_debttoassets($A4,S$1)</f>
        <v>57.723700000000001</v>
      </c>
      <c r="T4" s="3">
        <f>[1]!s_fa_debttoassets($A4,T$1)</f>
        <v>56.976900000000001</v>
      </c>
      <c r="U4" s="3">
        <f>[1]!s_fa_debttoassets($A4,U$1)</f>
        <v>56.109400000000001</v>
      </c>
      <c r="V4" s="3">
        <f>[1]!s_fa_debttoassets($A4,V$1)</f>
        <v>56.796799999999998</v>
      </c>
      <c r="W4" s="3">
        <f>[1]!s_fa_debttoassets($A4,W$1)</f>
        <v>57.958199999999998</v>
      </c>
      <c r="X4" s="3">
        <f>[1]!s_fa_debttoassets($A4,X$1)</f>
        <v>57.823300000000003</v>
      </c>
      <c r="Y4" s="3">
        <f>[1]!s_fa_debttoassets($A4,Y$1)</f>
        <v>58.511099999999999</v>
      </c>
    </row>
    <row r="5" spans="1:25">
      <c r="A5" s="1" t="s">
        <v>3</v>
      </c>
      <c r="B5" s="1" t="s">
        <v>46</v>
      </c>
      <c r="C5" s="3">
        <f ca="1">[1]!s_fa_debttoassets($A5,C$1)</f>
        <v>61.088700000000003</v>
      </c>
      <c r="D5" s="3">
        <f>[1]!s_fa_debttoassets($A5,D$1)</f>
        <v>61.088700000000003</v>
      </c>
      <c r="E5" s="3">
        <f>[1]!s_fa_debttoassets($A5,E$1)</f>
        <v>60.487900000000003</v>
      </c>
      <c r="F5" s="3">
        <f>[1]!s_fa_debttoassets($A5,F$1)</f>
        <v>60.885800000000003</v>
      </c>
      <c r="G5" s="3">
        <f>[1]!s_fa_debttoassets($A5,G$1)</f>
        <v>61.151800000000001</v>
      </c>
      <c r="H5" s="3">
        <f>[1]!s_fa_debttoassets($A5,H$1)</f>
        <v>62.537100000000002</v>
      </c>
      <c r="I5" s="3">
        <f>[1]!s_fa_debttoassets($A5,I$1)</f>
        <v>62.095799999999997</v>
      </c>
      <c r="J5" s="3">
        <f>[1]!s_fa_debttoassets($A5,J$1)</f>
        <v>62.575099999999999</v>
      </c>
      <c r="K5" s="3">
        <f>[1]!s_fa_debttoassets($A5,K$1)</f>
        <v>63.523600000000002</v>
      </c>
      <c r="L5" s="3">
        <f>[1]!s_fa_debttoassets($A5,L$1)</f>
        <v>64.606399999999994</v>
      </c>
      <c r="M5" s="3">
        <f>[1]!s_fa_debttoassets($A5,M$1)</f>
        <v>63.758000000000003</v>
      </c>
      <c r="N5" s="3">
        <f>[1]!s_fa_debttoassets($A5,N$1)</f>
        <v>64.427599999999998</v>
      </c>
      <c r="O5" s="3">
        <f>[1]!s_fa_debttoassets($A5,O$1)</f>
        <v>64.490899999999996</v>
      </c>
      <c r="P5" s="3">
        <f>[1]!s_fa_debttoassets($A5,P$1)</f>
        <v>65.275899999999993</v>
      </c>
      <c r="Q5" s="3">
        <f>[1]!s_fa_debttoassets($A5,Q$1)</f>
        <v>64.138499999999993</v>
      </c>
      <c r="R5" s="3">
        <f>[1]!s_fa_debttoassets($A5,R$1)</f>
        <v>64.281999999999996</v>
      </c>
      <c r="S5" s="3">
        <f>[1]!s_fa_debttoassets($A5,S$1)</f>
        <v>63.901299999999999</v>
      </c>
      <c r="T5" s="3">
        <f>[1]!s_fa_debttoassets($A5,T$1)</f>
        <v>64.3108</v>
      </c>
      <c r="U5" s="3">
        <f>[1]!s_fa_debttoassets($A5,U$1)</f>
        <v>63.241500000000002</v>
      </c>
      <c r="V5" s="3">
        <f>[1]!s_fa_debttoassets($A5,V$1)</f>
        <v>63.160400000000003</v>
      </c>
      <c r="W5" s="3">
        <f>[1]!s_fa_debttoassets($A5,W$1)</f>
        <v>62.823900000000002</v>
      </c>
      <c r="X5" s="3">
        <f>[1]!s_fa_debttoassets($A5,X$1)</f>
        <v>64.208200000000005</v>
      </c>
      <c r="Y5" s="3">
        <f>[1]!s_fa_debttoassets($A5,Y$1)</f>
        <v>62.392800000000001</v>
      </c>
    </row>
    <row r="6" spans="1:25">
      <c r="A6" s="1" t="s">
        <v>4</v>
      </c>
      <c r="B6" s="1" t="s">
        <v>47</v>
      </c>
      <c r="C6" s="3">
        <f ca="1">[1]!s_fa_debttoassets($A6,C$1)</f>
        <v>56.425199999999997</v>
      </c>
      <c r="D6" s="3">
        <f>[1]!s_fa_debttoassets($A6,D$1)</f>
        <v>56.425199999999997</v>
      </c>
      <c r="E6" s="3">
        <f>[1]!s_fa_debttoassets($A6,E$1)</f>
        <v>56.645299999999999</v>
      </c>
      <c r="F6" s="3">
        <f>[1]!s_fa_debttoassets($A6,F$1)</f>
        <v>56.097999999999999</v>
      </c>
      <c r="G6" s="3">
        <f>[1]!s_fa_debttoassets($A6,G$1)</f>
        <v>56.887700000000002</v>
      </c>
      <c r="H6" s="3">
        <f>[1]!s_fa_debttoassets($A6,H$1)</f>
        <v>56.813600000000001</v>
      </c>
      <c r="I6" s="3">
        <f>[1]!s_fa_debttoassets($A6,I$1)</f>
        <v>57.1509</v>
      </c>
      <c r="J6" s="3">
        <f>[1]!s_fa_debttoassets($A6,J$1)</f>
        <v>56.552799999999998</v>
      </c>
      <c r="K6" s="3">
        <f>[1]!s_fa_debttoassets($A6,K$1)</f>
        <v>57.7273</v>
      </c>
      <c r="L6" s="3">
        <f>[1]!s_fa_debttoassets($A6,L$1)</f>
        <v>57.937899999999999</v>
      </c>
      <c r="M6" s="3">
        <f>[1]!s_fa_debttoassets($A6,M$1)</f>
        <v>57.331000000000003</v>
      </c>
      <c r="N6" s="3">
        <f>[1]!s_fa_debttoassets($A6,N$1)</f>
        <v>57.579799999999999</v>
      </c>
      <c r="O6" s="3">
        <f>[1]!s_fa_debttoassets($A6,O$1)</f>
        <v>58.825800000000001</v>
      </c>
      <c r="P6" s="3">
        <f>[1]!s_fa_debttoassets($A6,P$1)</f>
        <v>60.290999999999997</v>
      </c>
      <c r="Q6" s="3">
        <f>[1]!s_fa_debttoassets($A6,Q$1)</f>
        <v>60.413400000000003</v>
      </c>
      <c r="R6" s="3">
        <f>[1]!s_fa_debttoassets($A6,R$1)</f>
        <v>61.319600000000001</v>
      </c>
      <c r="S6" s="3">
        <f>[1]!s_fa_debttoassets($A6,S$1)</f>
        <v>63.6965</v>
      </c>
      <c r="T6" s="3">
        <f>[1]!s_fa_debttoassets($A6,T$1)</f>
        <v>64.986000000000004</v>
      </c>
      <c r="U6" s="3">
        <f>[1]!s_fa_debttoassets($A6,U$1)</f>
        <v>65.509699999999995</v>
      </c>
      <c r="V6" s="3">
        <f>[1]!s_fa_debttoassets($A6,V$1)</f>
        <v>66.047899999999998</v>
      </c>
      <c r="W6" s="3">
        <f>[1]!s_fa_debttoassets($A6,W$1)</f>
        <v>67.199600000000004</v>
      </c>
      <c r="X6" s="3">
        <f>[1]!s_fa_debttoassets($A6,X$1)</f>
        <v>67.635000000000005</v>
      </c>
      <c r="Y6" s="3">
        <f>[1]!s_fa_debttoassets($A6,Y$1)</f>
        <v>67.873000000000005</v>
      </c>
    </row>
    <row r="7" spans="1:25">
      <c r="A7" s="1" t="s">
        <v>5</v>
      </c>
      <c r="B7" s="1" t="s">
        <v>48</v>
      </c>
      <c r="C7" s="3">
        <f ca="1">[1]!s_fa_debttoassets($A7,C$1)</f>
        <v>47.906399999999998</v>
      </c>
      <c r="D7" s="3">
        <f>[1]!s_fa_debttoassets($A7,D$1)</f>
        <v>47.906399999999998</v>
      </c>
      <c r="E7" s="3">
        <f>[1]!s_fa_debttoassets($A7,E$1)</f>
        <v>48.189599999999999</v>
      </c>
      <c r="F7" s="3">
        <f>[1]!s_fa_debttoassets($A7,F$1)</f>
        <v>49.094999999999999</v>
      </c>
      <c r="G7" s="3">
        <f>[1]!s_fa_debttoassets($A7,G$1)</f>
        <v>50.189599999999999</v>
      </c>
      <c r="H7" s="3">
        <f>[1]!s_fa_debttoassets($A7,H$1)</f>
        <v>51.158099999999997</v>
      </c>
      <c r="I7" s="3">
        <f>[1]!s_fa_debttoassets($A7,I$1)</f>
        <v>50.152000000000001</v>
      </c>
      <c r="J7" s="3">
        <f>[1]!s_fa_debttoassets($A7,J$1)</f>
        <v>50.534300000000002</v>
      </c>
      <c r="K7" s="3">
        <f>[1]!s_fa_debttoassets($A7,K$1)</f>
        <v>50.287199999999999</v>
      </c>
      <c r="L7" s="3">
        <f>[1]!s_fa_debttoassets($A7,L$1)</f>
        <v>51.215000000000003</v>
      </c>
      <c r="M7" s="3">
        <f>[1]!s_fa_debttoassets($A7,M$1)</f>
        <v>50.877400000000002</v>
      </c>
      <c r="N7" s="3">
        <f>[1]!s_fa_debttoassets($A7,N$1)</f>
        <v>50.566200000000002</v>
      </c>
      <c r="O7" s="3">
        <f>[1]!s_fa_debttoassets($A7,O$1)</f>
        <v>51.169899999999998</v>
      </c>
      <c r="P7" s="3">
        <f>[1]!s_fa_debttoassets($A7,P$1)</f>
        <v>51.601700000000001</v>
      </c>
      <c r="Q7" s="3">
        <f>[1]!s_fa_debttoassets($A7,Q$1)</f>
        <v>51.2074</v>
      </c>
      <c r="R7" s="3">
        <f>[1]!s_fa_debttoassets($A7,R$1)</f>
        <v>54.020899999999997</v>
      </c>
      <c r="S7" s="3">
        <f>[1]!s_fa_debttoassets($A7,S$1)</f>
        <v>53.902500000000003</v>
      </c>
      <c r="T7" s="3">
        <f>[1]!s_fa_debttoassets($A7,T$1)</f>
        <v>54.203200000000002</v>
      </c>
      <c r="U7" s="3">
        <f>[1]!s_fa_debttoassets($A7,U$1)</f>
        <v>54.340200000000003</v>
      </c>
      <c r="V7" s="3">
        <f>[1]!s_fa_debttoassets($A7,V$1)</f>
        <v>56.116100000000003</v>
      </c>
      <c r="W7" s="3">
        <f>[1]!s_fa_debttoassets($A7,W$1)</f>
        <v>55.896900000000002</v>
      </c>
      <c r="X7" s="3">
        <f>[1]!s_fa_debttoassets($A7,X$1)</f>
        <v>57.1464</v>
      </c>
      <c r="Y7" s="3">
        <f>[1]!s_fa_debttoassets($A7,Y$1)</f>
        <v>57.224600000000002</v>
      </c>
    </row>
    <row r="8" spans="1:25">
      <c r="A8" s="1" t="s">
        <v>6</v>
      </c>
      <c r="B8" s="1" t="s">
        <v>49</v>
      </c>
      <c r="C8" s="3">
        <f ca="1">[1]!s_fa_debttoassets($A8,C$1)</f>
        <v>74.484099999999998</v>
      </c>
      <c r="D8" s="3">
        <f>[1]!s_fa_debttoassets($A8,D$1)</f>
        <v>74.484099999999998</v>
      </c>
      <c r="E8" s="3">
        <f>[1]!s_fa_debttoassets($A8,E$1)</f>
        <v>73.991100000000003</v>
      </c>
      <c r="F8" s="3">
        <f>[1]!s_fa_debttoassets($A8,F$1)</f>
        <v>73.828900000000004</v>
      </c>
      <c r="G8" s="3">
        <f>[1]!s_fa_debttoassets($A8,G$1)</f>
        <v>75.067499999999995</v>
      </c>
      <c r="H8" s="3">
        <f>[1]!s_fa_debttoassets($A8,H$1)</f>
        <v>75.262200000000007</v>
      </c>
      <c r="I8" s="3">
        <f>[1]!s_fa_debttoassets($A8,I$1)</f>
        <v>74.655299999999997</v>
      </c>
      <c r="J8" s="3">
        <f>[1]!s_fa_debttoassets($A8,J$1)</f>
        <v>74.768299999999996</v>
      </c>
      <c r="K8" s="3">
        <f>[1]!s_fa_debttoassets($A8,K$1)</f>
        <v>75.759600000000006</v>
      </c>
      <c r="L8" s="3">
        <f>[1]!s_fa_debttoassets($A8,L$1)</f>
        <v>75.862399999999994</v>
      </c>
      <c r="M8" s="3">
        <f>[1]!s_fa_debttoassets($A8,M$1)</f>
        <v>75.5244</v>
      </c>
      <c r="N8" s="3">
        <f>[1]!s_fa_debttoassets($A8,N$1)</f>
        <v>75.599800000000002</v>
      </c>
      <c r="O8" s="3">
        <f>[1]!s_fa_debttoassets($A8,O$1)</f>
        <v>76.567700000000002</v>
      </c>
      <c r="P8" s="3">
        <f>[1]!s_fa_debttoassets($A8,P$1)</f>
        <v>76.6173</v>
      </c>
      <c r="Q8" s="3">
        <f>[1]!s_fa_debttoassets($A8,Q$1)</f>
        <v>75.743899999999996</v>
      </c>
      <c r="R8" s="3">
        <f>[1]!s_fa_debttoassets($A8,R$1)</f>
        <v>76.176699999999997</v>
      </c>
      <c r="S8" s="3">
        <f>[1]!s_fa_debttoassets($A8,S$1)</f>
        <v>76.980800000000002</v>
      </c>
      <c r="T8" s="3">
        <f>[1]!s_fa_debttoassets($A8,T$1)</f>
        <v>77.070499999999996</v>
      </c>
      <c r="U8" s="3">
        <f>[1]!s_fa_debttoassets($A8,U$1)</f>
        <v>76.588899999999995</v>
      </c>
      <c r="V8" s="3">
        <f>[1]!s_fa_debttoassets($A8,V$1)</f>
        <v>77.344800000000006</v>
      </c>
      <c r="W8" s="3">
        <f>[1]!s_fa_debttoassets($A8,W$1)</f>
        <v>77.445999999999998</v>
      </c>
      <c r="X8" s="3">
        <f>[1]!s_fa_debttoassets($A8,X$1)</f>
        <v>77.555099999999996</v>
      </c>
      <c r="Y8" s="3">
        <f>[1]!s_fa_debttoassets($A8,Y$1)</f>
        <v>77.222999999999999</v>
      </c>
    </row>
    <row r="9" spans="1:25">
      <c r="A9" s="1" t="s">
        <v>7</v>
      </c>
      <c r="B9" s="1" t="s">
        <v>50</v>
      </c>
      <c r="C9" s="3">
        <f ca="1">[1]!s_fa_debttoassets($A9,C$1)</f>
        <v>37.963299999999997</v>
      </c>
      <c r="D9" s="3">
        <f>[1]!s_fa_debttoassets($A9,D$1)</f>
        <v>37.963299999999997</v>
      </c>
      <c r="E9" s="3">
        <f>[1]!s_fa_debttoassets($A9,E$1)</f>
        <v>37.054000000000002</v>
      </c>
      <c r="F9" s="3">
        <f>[1]!s_fa_debttoassets($A9,F$1)</f>
        <v>37.530200000000001</v>
      </c>
      <c r="G9" s="3">
        <f>[1]!s_fa_debttoassets($A9,G$1)</f>
        <v>39.406999999999996</v>
      </c>
      <c r="H9" s="3">
        <f>[1]!s_fa_debttoassets($A9,H$1)</f>
        <v>40.172199999999997</v>
      </c>
      <c r="I9" s="3">
        <f>[1]!s_fa_debttoassets($A9,I$1)</f>
        <v>38.965600000000002</v>
      </c>
      <c r="J9" s="3">
        <f>[1]!s_fa_debttoassets($A9,J$1)</f>
        <v>39.492699999999999</v>
      </c>
      <c r="K9" s="3">
        <f>[1]!s_fa_debttoassets($A9,K$1)</f>
        <v>39.680900000000001</v>
      </c>
      <c r="L9" s="3">
        <f>[1]!s_fa_debttoassets($A9,L$1)</f>
        <v>40.365499999999997</v>
      </c>
      <c r="M9" s="3">
        <f>[1]!s_fa_debttoassets($A9,M$1)</f>
        <v>40.366100000000003</v>
      </c>
      <c r="N9" s="3">
        <f>[1]!s_fa_debttoassets($A9,N$1)</f>
        <v>41.8566</v>
      </c>
      <c r="O9" s="3">
        <f>[1]!s_fa_debttoassets($A9,O$1)</f>
        <v>43.030700000000003</v>
      </c>
      <c r="P9" s="3">
        <f>[1]!s_fa_debttoassets($A9,P$1)</f>
        <v>43.532200000000003</v>
      </c>
      <c r="Q9" s="3">
        <f>[1]!s_fa_debttoassets($A9,Q$1)</f>
        <v>44.976500000000001</v>
      </c>
      <c r="R9" s="3">
        <f>[1]!s_fa_debttoassets($A9,R$1)</f>
        <v>45.873699999999999</v>
      </c>
      <c r="S9" s="3">
        <f>[1]!s_fa_debttoassets($A9,S$1)</f>
        <v>47.434699999999999</v>
      </c>
      <c r="T9" s="3">
        <f>[1]!s_fa_debttoassets($A9,T$1)</f>
        <v>47.331099999999999</v>
      </c>
      <c r="U9" s="3">
        <f>[1]!s_fa_debttoassets($A9,U$1)</f>
        <v>47.613300000000002</v>
      </c>
      <c r="V9" s="3">
        <f>[1]!s_fa_debttoassets($A9,V$1)</f>
        <v>47.5961</v>
      </c>
      <c r="W9" s="3">
        <f>[1]!s_fa_debttoassets($A9,W$1)</f>
        <v>48.411000000000001</v>
      </c>
      <c r="X9" s="3">
        <f>[1]!s_fa_debttoassets($A9,X$1)</f>
        <v>48.998899999999999</v>
      </c>
      <c r="Y9" s="3">
        <f>[1]!s_fa_debttoassets($A9,Y$1)</f>
        <v>49.526000000000003</v>
      </c>
    </row>
    <row r="10" spans="1:25">
      <c r="A10" s="1" t="s">
        <v>8</v>
      </c>
      <c r="B10" s="1" t="s">
        <v>51</v>
      </c>
      <c r="C10" s="3">
        <f ca="1">[1]!s_fa_debttoassets($A10,C$1)</f>
        <v>48.292099999999998</v>
      </c>
      <c r="D10" s="3">
        <f>[1]!s_fa_debttoassets($A10,D$1)</f>
        <v>48.292099999999998</v>
      </c>
      <c r="E10" s="3">
        <f>[1]!s_fa_debttoassets($A10,E$1)</f>
        <v>47.727400000000003</v>
      </c>
      <c r="F10" s="3">
        <f>[1]!s_fa_debttoassets($A10,F$1)</f>
        <v>48.197000000000003</v>
      </c>
      <c r="G10" s="3">
        <f>[1]!s_fa_debttoassets($A10,G$1)</f>
        <v>49.122199999999999</v>
      </c>
      <c r="H10" s="3">
        <f>[1]!s_fa_debttoassets($A10,H$1)</f>
        <v>49.685899999999997</v>
      </c>
      <c r="I10" s="3">
        <f>[1]!s_fa_debttoassets($A10,I$1)</f>
        <v>49.300899999999999</v>
      </c>
      <c r="J10" s="3">
        <f>[1]!s_fa_debttoassets($A10,J$1)</f>
        <v>49.804499999999997</v>
      </c>
      <c r="K10" s="3">
        <f>[1]!s_fa_debttoassets($A10,K$1)</f>
        <v>51</v>
      </c>
      <c r="L10" s="3">
        <f>[1]!s_fa_debttoassets($A10,L$1)</f>
        <v>51.045499999999997</v>
      </c>
      <c r="M10" s="3">
        <f>[1]!s_fa_debttoassets($A10,M$1)</f>
        <v>50.854700000000001</v>
      </c>
      <c r="N10" s="3">
        <f>[1]!s_fa_debttoassets($A10,N$1)</f>
        <v>51.093600000000002</v>
      </c>
      <c r="O10" s="3">
        <f>[1]!s_fa_debttoassets($A10,O$1)</f>
        <v>50.275100000000002</v>
      </c>
      <c r="P10" s="3">
        <f>[1]!s_fa_debttoassets($A10,P$1)</f>
        <v>49.818800000000003</v>
      </c>
      <c r="Q10" s="3">
        <f>[1]!s_fa_debttoassets($A10,Q$1)</f>
        <v>48.514099999999999</v>
      </c>
      <c r="R10" s="3">
        <f>[1]!s_fa_debttoassets($A10,R$1)</f>
        <v>49.1982</v>
      </c>
      <c r="S10" s="3">
        <f>[1]!s_fa_debttoassets($A10,S$1)</f>
        <v>49.6877</v>
      </c>
      <c r="T10" s="3">
        <f>[1]!s_fa_debttoassets($A10,T$1)</f>
        <v>50.895000000000003</v>
      </c>
      <c r="U10" s="3">
        <f>[1]!s_fa_debttoassets($A10,U$1)</f>
        <v>50.742100000000001</v>
      </c>
      <c r="V10" s="3">
        <f>[1]!s_fa_debttoassets($A10,V$1)</f>
        <v>51.393300000000004</v>
      </c>
      <c r="W10" s="3">
        <f>[1]!s_fa_debttoassets($A10,W$1)</f>
        <v>53.306199999999997</v>
      </c>
      <c r="X10" s="3">
        <f>[1]!s_fa_debttoassets($A10,X$1)</f>
        <v>55.806699999999999</v>
      </c>
      <c r="Y10" s="3">
        <f>[1]!s_fa_debttoassets($A10,Y$1)</f>
        <v>55.548900000000003</v>
      </c>
    </row>
    <row r="11" spans="1:25">
      <c r="A11" s="1" t="s">
        <v>9</v>
      </c>
      <c r="B11" s="1" t="s">
        <v>52</v>
      </c>
      <c r="C11" s="3">
        <f ca="1">[1]!s_fa_debttoassets($A11,C$1)</f>
        <v>55.217100000000002</v>
      </c>
      <c r="D11" s="3">
        <f>[1]!s_fa_debttoassets($A11,D$1)</f>
        <v>55.217100000000002</v>
      </c>
      <c r="E11" s="3">
        <f>[1]!s_fa_debttoassets($A11,E$1)</f>
        <v>54.610199999999999</v>
      </c>
      <c r="F11" s="3">
        <f>[1]!s_fa_debttoassets($A11,F$1)</f>
        <v>54.439300000000003</v>
      </c>
      <c r="G11" s="3">
        <f>[1]!s_fa_debttoassets($A11,G$1)</f>
        <v>55.9255</v>
      </c>
      <c r="H11" s="3">
        <f>[1]!s_fa_debttoassets($A11,H$1)</f>
        <v>55.915700000000001</v>
      </c>
      <c r="I11" s="3">
        <f>[1]!s_fa_debttoassets($A11,I$1)</f>
        <v>55.222099999999998</v>
      </c>
      <c r="J11" s="3">
        <f>[1]!s_fa_debttoassets($A11,J$1)</f>
        <v>54.3842</v>
      </c>
      <c r="K11" s="3">
        <f>[1]!s_fa_debttoassets($A11,K$1)</f>
        <v>55.325099999999999</v>
      </c>
      <c r="L11" s="3">
        <f>[1]!s_fa_debttoassets($A11,L$1)</f>
        <v>55.9161</v>
      </c>
      <c r="M11" s="3">
        <f>[1]!s_fa_debttoassets($A11,M$1)</f>
        <v>54.921100000000003</v>
      </c>
      <c r="N11" s="3">
        <f>[1]!s_fa_debttoassets($A11,N$1)</f>
        <v>54.7926</v>
      </c>
      <c r="O11" s="3">
        <f>[1]!s_fa_debttoassets($A11,O$1)</f>
        <v>55.257800000000003</v>
      </c>
      <c r="P11" s="3">
        <f>[1]!s_fa_debttoassets($A11,P$1)</f>
        <v>55.054900000000004</v>
      </c>
      <c r="Q11" s="3">
        <f>[1]!s_fa_debttoassets($A11,Q$1)</f>
        <v>54.1066</v>
      </c>
      <c r="R11" s="3">
        <f>[1]!s_fa_debttoassets($A11,R$1)</f>
        <v>54.1494</v>
      </c>
      <c r="S11" s="3">
        <f>[1]!s_fa_debttoassets($A11,S$1)</f>
        <v>54.941000000000003</v>
      </c>
      <c r="T11" s="3">
        <f>[1]!s_fa_debttoassets($A11,T$1)</f>
        <v>54.992699999999999</v>
      </c>
      <c r="U11" s="3">
        <f>[1]!s_fa_debttoassets($A11,U$1)</f>
        <v>54.338799999999999</v>
      </c>
      <c r="V11" s="3">
        <f>[1]!s_fa_debttoassets($A11,V$1)</f>
        <v>63.497900000000001</v>
      </c>
      <c r="W11" s="3">
        <f>[1]!s_fa_debttoassets($A11,W$1)</f>
        <v>55.065100000000001</v>
      </c>
      <c r="X11" s="3">
        <f>[1]!s_fa_debttoassets($A11,X$1)</f>
        <v>54.981900000000003</v>
      </c>
      <c r="Y11" s="3">
        <f>[1]!s_fa_debttoassets($A11,Y$1)</f>
        <v>54.043599999999998</v>
      </c>
    </row>
    <row r="12" spans="1:25">
      <c r="A12" s="1" t="s">
        <v>10</v>
      </c>
      <c r="B12" s="1" t="s">
        <v>53</v>
      </c>
      <c r="C12" s="3">
        <f ca="1">[1]!s_fa_debttoassets($A12,C$1)</f>
        <v>57.425699999999999</v>
      </c>
      <c r="D12" s="3">
        <f>[1]!s_fa_debttoassets($A12,D$1)</f>
        <v>57.425699999999999</v>
      </c>
      <c r="E12" s="3">
        <f>[1]!s_fa_debttoassets($A12,E$1)</f>
        <v>56.373199999999997</v>
      </c>
      <c r="F12" s="3">
        <f>[1]!s_fa_debttoassets($A12,F$1)</f>
        <v>56.613500000000002</v>
      </c>
      <c r="G12" s="3">
        <f>[1]!s_fa_debttoassets($A12,G$1)</f>
        <v>57.534399999999998</v>
      </c>
      <c r="H12" s="3">
        <f>[1]!s_fa_debttoassets($A12,H$1)</f>
        <v>58.224400000000003</v>
      </c>
      <c r="I12" s="3">
        <f>[1]!s_fa_debttoassets($A12,I$1)</f>
        <v>57.653599999999997</v>
      </c>
      <c r="J12" s="3">
        <f>[1]!s_fa_debttoassets($A12,J$1)</f>
        <v>58.167299999999997</v>
      </c>
      <c r="K12" s="3">
        <f>[1]!s_fa_debttoassets($A12,K$1)</f>
        <v>56.825499999999998</v>
      </c>
      <c r="L12" s="3">
        <f>[1]!s_fa_debttoassets($A12,L$1)</f>
        <v>56.562600000000003</v>
      </c>
      <c r="M12" s="3">
        <f>[1]!s_fa_debttoassets($A12,M$1)</f>
        <v>56.384700000000002</v>
      </c>
      <c r="N12" s="3">
        <f>[1]!s_fa_debttoassets($A12,N$1)</f>
        <v>55.8979</v>
      </c>
      <c r="O12" s="3">
        <f>[1]!s_fa_debttoassets($A12,O$1)</f>
        <v>55.798400000000001</v>
      </c>
      <c r="P12" s="3">
        <f>[1]!s_fa_debttoassets($A12,P$1)</f>
        <v>55.556699999999999</v>
      </c>
      <c r="Q12" s="3">
        <f>[1]!s_fa_debttoassets($A12,Q$1)</f>
        <v>54.770499999999998</v>
      </c>
      <c r="R12" s="3">
        <f>[1]!s_fa_debttoassets($A12,R$1)</f>
        <v>55.076599999999999</v>
      </c>
      <c r="S12" s="3">
        <f>[1]!s_fa_debttoassets($A12,S$1)</f>
        <v>55.602499999999999</v>
      </c>
      <c r="T12" s="3">
        <f>[1]!s_fa_debttoassets($A12,T$1)</f>
        <v>55.770400000000002</v>
      </c>
      <c r="U12" s="3">
        <f>[1]!s_fa_debttoassets($A12,U$1)</f>
        <v>54.987400000000001</v>
      </c>
      <c r="V12" s="3">
        <f>[1]!s_fa_debttoassets($A12,V$1)</f>
        <v>56.404299999999999</v>
      </c>
      <c r="W12" s="3">
        <f>[1]!s_fa_debttoassets($A12,W$1)</f>
        <v>55.8842</v>
      </c>
      <c r="X12" s="3">
        <f>[1]!s_fa_debttoassets($A12,X$1)</f>
        <v>57.0349</v>
      </c>
      <c r="Y12" s="3">
        <f>[1]!s_fa_debttoassets($A12,Y$1)</f>
        <v>56.807699999999997</v>
      </c>
    </row>
    <row r="13" spans="1:25">
      <c r="A13" s="1" t="s">
        <v>11</v>
      </c>
      <c r="B13" s="1" t="s">
        <v>54</v>
      </c>
      <c r="C13" s="3">
        <f ca="1">[1]!s_fa_debttoassets($A13,C$1)</f>
        <v>50.1875</v>
      </c>
      <c r="D13" s="3">
        <f>[1]!s_fa_debttoassets($A13,D$1)</f>
        <v>50.1875</v>
      </c>
      <c r="E13" s="3">
        <f>[1]!s_fa_debttoassets($A13,E$1)</f>
        <v>46.680900000000001</v>
      </c>
      <c r="F13" s="3">
        <f>[1]!s_fa_debttoassets($A13,F$1)</f>
        <v>47.586599999999997</v>
      </c>
      <c r="G13" s="3">
        <f>[1]!s_fa_debttoassets($A13,G$1)</f>
        <v>47.148499999999999</v>
      </c>
      <c r="H13" s="3">
        <f>[1]!s_fa_debttoassets($A13,H$1)</f>
        <v>46.947000000000003</v>
      </c>
      <c r="I13" s="3">
        <f>[1]!s_fa_debttoassets($A13,I$1)</f>
        <v>48.187399999999997</v>
      </c>
      <c r="J13" s="3">
        <f>[1]!s_fa_debttoassets($A13,J$1)</f>
        <v>49.967500000000001</v>
      </c>
      <c r="K13" s="3">
        <f>[1]!s_fa_debttoassets($A13,K$1)</f>
        <v>49.9985</v>
      </c>
      <c r="L13" s="3">
        <f>[1]!s_fa_debttoassets($A13,L$1)</f>
        <v>50.273200000000003</v>
      </c>
      <c r="M13" s="3">
        <f>[1]!s_fa_debttoassets($A13,M$1)</f>
        <v>50.363599999999998</v>
      </c>
      <c r="N13" s="3">
        <f>[1]!s_fa_debttoassets($A13,N$1)</f>
        <v>51.632899999999999</v>
      </c>
      <c r="O13" s="3">
        <f>[1]!s_fa_debttoassets($A13,O$1)</f>
        <v>54.0199</v>
      </c>
      <c r="P13" s="3">
        <f>[1]!s_fa_debttoassets($A13,P$1)</f>
        <v>52.973300000000002</v>
      </c>
      <c r="Q13" s="3">
        <f>[1]!s_fa_debttoassets($A13,Q$1)</f>
        <v>53.198799999999999</v>
      </c>
      <c r="R13" s="3">
        <f>[1]!s_fa_debttoassets($A13,R$1)</f>
        <v>54.322299999999998</v>
      </c>
      <c r="S13" s="3">
        <f>[1]!s_fa_debttoassets($A13,S$1)</f>
        <v>55.869</v>
      </c>
      <c r="T13" s="3">
        <f>[1]!s_fa_debttoassets($A13,T$1)</f>
        <v>58.835799999999999</v>
      </c>
      <c r="U13" s="3">
        <f>[1]!s_fa_debttoassets($A13,U$1)</f>
        <v>59.1342</v>
      </c>
      <c r="V13" s="3">
        <f>[1]!s_fa_debttoassets($A13,V$1)</f>
        <v>59.473100000000002</v>
      </c>
      <c r="W13" s="3">
        <f>[1]!s_fa_debttoassets($A13,W$1)</f>
        <v>60.130299999999998</v>
      </c>
      <c r="X13" s="3">
        <f>[1]!s_fa_debttoassets($A13,X$1)</f>
        <v>60.609900000000003</v>
      </c>
      <c r="Y13" s="3">
        <f>[1]!s_fa_debttoassets($A13,Y$1)</f>
        <v>60.8934</v>
      </c>
    </row>
    <row r="14" spans="1:25">
      <c r="A14" s="1" t="s">
        <v>12</v>
      </c>
      <c r="B14" s="1" t="s">
        <v>55</v>
      </c>
      <c r="C14" s="3">
        <f ca="1">[1]!s_fa_debttoassets($A14,C$1)</f>
        <v>58.892400000000002</v>
      </c>
      <c r="D14" s="3">
        <f>[1]!s_fa_debttoassets($A14,D$1)</f>
        <v>58.892400000000002</v>
      </c>
      <c r="E14" s="3">
        <f>[1]!s_fa_debttoassets($A14,E$1)</f>
        <v>59.346800000000002</v>
      </c>
      <c r="F14" s="3">
        <f>[1]!s_fa_debttoassets($A14,F$1)</f>
        <v>60.796100000000003</v>
      </c>
      <c r="G14" s="3">
        <f>[1]!s_fa_debttoassets($A14,G$1)</f>
        <v>60.112400000000001</v>
      </c>
      <c r="H14" s="3">
        <f>[1]!s_fa_debttoassets($A14,H$1)</f>
        <v>60.606000000000002</v>
      </c>
      <c r="I14" s="3">
        <f>[1]!s_fa_debttoassets($A14,I$1)</f>
        <v>58.690199999999997</v>
      </c>
      <c r="J14" s="3">
        <f>[1]!s_fa_debttoassets($A14,J$1)</f>
        <v>60.13</v>
      </c>
      <c r="K14" s="3">
        <f>[1]!s_fa_debttoassets($A14,K$1)</f>
        <v>58.7926</v>
      </c>
      <c r="L14" s="3">
        <f>[1]!s_fa_debttoassets($A14,L$1)</f>
        <v>58.692999999999998</v>
      </c>
      <c r="M14" s="3">
        <f>[1]!s_fa_debttoassets($A14,M$1)</f>
        <v>57.998899999999999</v>
      </c>
      <c r="N14" s="3">
        <f>[1]!s_fa_debttoassets($A14,N$1)</f>
        <v>58.746200000000002</v>
      </c>
      <c r="O14" s="3">
        <f>[1]!s_fa_debttoassets($A14,O$1)</f>
        <v>57.480600000000003</v>
      </c>
      <c r="P14" s="3">
        <f>[1]!s_fa_debttoassets($A14,P$1)</f>
        <v>58.720799999999997</v>
      </c>
      <c r="Q14" s="3">
        <f>[1]!s_fa_debttoassets($A14,Q$1)</f>
        <v>57.79</v>
      </c>
      <c r="R14" s="3">
        <f>[1]!s_fa_debttoassets($A14,R$1)</f>
        <v>58.903399999999998</v>
      </c>
      <c r="S14" s="3">
        <f>[1]!s_fa_debttoassets($A14,S$1)</f>
        <v>58.392400000000002</v>
      </c>
      <c r="T14" s="3">
        <f>[1]!s_fa_debttoassets($A14,T$1)</f>
        <v>58.718000000000004</v>
      </c>
      <c r="U14" s="3">
        <f>[1]!s_fa_debttoassets($A14,U$1)</f>
        <v>58.001100000000001</v>
      </c>
      <c r="V14" s="3">
        <f>[1]!s_fa_debttoassets($A14,V$1)</f>
        <v>58.983600000000003</v>
      </c>
      <c r="W14" s="3">
        <f>[1]!s_fa_debttoassets($A14,W$1)</f>
        <v>58.100099999999998</v>
      </c>
      <c r="X14" s="3">
        <f>[1]!s_fa_debttoassets($A14,X$1)</f>
        <v>58.498199999999997</v>
      </c>
      <c r="Y14" s="3">
        <f>[1]!s_fa_debttoassets($A14,Y$1)</f>
        <v>56.935099999999998</v>
      </c>
    </row>
    <row r="15" spans="1:25">
      <c r="A15" s="1" t="s">
        <v>13</v>
      </c>
      <c r="B15" s="1" t="s">
        <v>56</v>
      </c>
      <c r="C15" s="3">
        <f ca="1">[1]!s_fa_debttoassets($A15,C$1)</f>
        <v>62.823599999999999</v>
      </c>
      <c r="D15" s="3">
        <f>[1]!s_fa_debttoassets($A15,D$1)</f>
        <v>62.823599999999999</v>
      </c>
      <c r="E15" s="3">
        <f>[1]!s_fa_debttoassets($A15,E$1)</f>
        <v>63.920499999999997</v>
      </c>
      <c r="F15" s="3">
        <f>[1]!s_fa_debttoassets($A15,F$1)</f>
        <v>59.1599</v>
      </c>
      <c r="G15" s="3">
        <f>[1]!s_fa_debttoassets($A15,G$1)</f>
        <v>60.548499999999997</v>
      </c>
      <c r="H15" s="3">
        <f>[1]!s_fa_debttoassets($A15,H$1)</f>
        <v>60.1965</v>
      </c>
      <c r="I15" s="3">
        <f>[1]!s_fa_debttoassets($A15,I$1)</f>
        <v>59.758400000000002</v>
      </c>
      <c r="J15" s="3">
        <f>[1]!s_fa_debttoassets($A15,J$1)</f>
        <v>59.248199999999997</v>
      </c>
      <c r="K15" s="3">
        <f>[1]!s_fa_debttoassets($A15,K$1)</f>
        <v>59.337499999999999</v>
      </c>
      <c r="L15" s="3">
        <f>[1]!s_fa_debttoassets($A15,L$1)</f>
        <v>57.703800000000001</v>
      </c>
      <c r="M15" s="3">
        <f>[1]!s_fa_debttoassets($A15,M$1)</f>
        <v>57.415999999999997</v>
      </c>
      <c r="N15" s="3">
        <f>[1]!s_fa_debttoassets($A15,N$1)</f>
        <v>56.8872</v>
      </c>
      <c r="O15" s="3">
        <f>[1]!s_fa_debttoassets($A15,O$1)</f>
        <v>56.1509</v>
      </c>
      <c r="P15" s="3">
        <f>[1]!s_fa_debttoassets($A15,P$1)</f>
        <v>55.484499999999997</v>
      </c>
      <c r="Q15" s="3">
        <f>[1]!s_fa_debttoassets($A15,Q$1)</f>
        <v>54.995199999999997</v>
      </c>
      <c r="R15" s="3">
        <f>[1]!s_fa_debttoassets($A15,R$1)</f>
        <v>54.9069</v>
      </c>
      <c r="S15" s="3">
        <f>[1]!s_fa_debttoassets($A15,S$1)</f>
        <v>55.402200000000001</v>
      </c>
      <c r="T15" s="3">
        <f>[1]!s_fa_debttoassets($A15,T$1)</f>
        <v>54.792400000000001</v>
      </c>
      <c r="U15" s="3">
        <f>[1]!s_fa_debttoassets($A15,U$1)</f>
        <v>55.589100000000002</v>
      </c>
      <c r="V15" s="3">
        <f>[1]!s_fa_debttoassets($A15,V$1)</f>
        <v>56.699399999999997</v>
      </c>
      <c r="W15" s="3">
        <f>[1]!s_fa_debttoassets($A15,W$1)</f>
        <v>58.863</v>
      </c>
      <c r="X15" s="3">
        <f>[1]!s_fa_debttoassets($A15,X$1)</f>
        <v>58.898400000000002</v>
      </c>
      <c r="Y15" s="3">
        <f>[1]!s_fa_debttoassets($A15,Y$1)</f>
        <v>59.277299999999997</v>
      </c>
    </row>
    <row r="16" spans="1:25">
      <c r="A16" s="1" t="s">
        <v>14</v>
      </c>
      <c r="B16" s="1" t="s">
        <v>57</v>
      </c>
      <c r="C16" s="3">
        <f ca="1">[1]!s_fa_debttoassets($A16,C$1)</f>
        <v>50.369199999999999</v>
      </c>
      <c r="D16" s="3">
        <f>[1]!s_fa_debttoassets($A16,D$1)</f>
        <v>50.369199999999999</v>
      </c>
      <c r="E16" s="3">
        <f>[1]!s_fa_debttoassets($A16,E$1)</f>
        <v>51.323799999999999</v>
      </c>
      <c r="F16" s="3">
        <f>[1]!s_fa_debttoassets($A16,F$1)</f>
        <v>47.475000000000001</v>
      </c>
      <c r="G16" s="3">
        <f>[1]!s_fa_debttoassets($A16,G$1)</f>
        <v>48.498100000000001</v>
      </c>
      <c r="H16" s="3">
        <f>[1]!s_fa_debttoassets($A16,H$1)</f>
        <v>47.767400000000002</v>
      </c>
      <c r="I16" s="3">
        <f>[1]!s_fa_debttoassets($A16,I$1)</f>
        <v>45.383400000000002</v>
      </c>
      <c r="J16" s="3">
        <f>[1]!s_fa_debttoassets($A16,J$1)</f>
        <v>44.5916</v>
      </c>
      <c r="K16" s="3">
        <f>[1]!s_fa_debttoassets($A16,K$1)</f>
        <v>43.194499999999998</v>
      </c>
      <c r="L16" s="3">
        <f>[1]!s_fa_debttoassets($A16,L$1)</f>
        <v>43.753799999999998</v>
      </c>
      <c r="M16" s="3">
        <f>[1]!s_fa_debttoassets($A16,M$1)</f>
        <v>43.763599999999997</v>
      </c>
      <c r="N16" s="3">
        <f>[1]!s_fa_debttoassets($A16,N$1)</f>
        <v>45.205500000000001</v>
      </c>
      <c r="O16" s="3">
        <f>[1]!s_fa_debttoassets($A16,O$1)</f>
        <v>45.660499999999999</v>
      </c>
      <c r="P16" s="3">
        <f>[1]!s_fa_debttoassets($A16,P$1)</f>
        <v>46.262099999999997</v>
      </c>
      <c r="Q16" s="3">
        <f>[1]!s_fa_debttoassets($A16,Q$1)</f>
        <v>45.717700000000001</v>
      </c>
      <c r="R16" s="3">
        <f>[1]!s_fa_debttoassets($A16,R$1)</f>
        <v>45.7804</v>
      </c>
      <c r="S16" s="3">
        <f>[1]!s_fa_debttoassets($A16,S$1)</f>
        <v>46.1768</v>
      </c>
      <c r="T16" s="3">
        <f>[1]!s_fa_debttoassets($A16,T$1)</f>
        <v>46.609900000000003</v>
      </c>
      <c r="U16" s="3">
        <f>[1]!s_fa_debttoassets($A16,U$1)</f>
        <v>46.5593</v>
      </c>
      <c r="V16" s="3">
        <f>[1]!s_fa_debttoassets($A16,V$1)</f>
        <v>47.3264</v>
      </c>
      <c r="W16" s="3">
        <f>[1]!s_fa_debttoassets($A16,W$1)</f>
        <v>50.161700000000003</v>
      </c>
      <c r="X16" s="3">
        <f>[1]!s_fa_debttoassets($A16,X$1)</f>
        <v>53.271099999999997</v>
      </c>
      <c r="Y16" s="3">
        <f>[1]!s_fa_debttoassets($A16,Y$1)</f>
        <v>51.701099999999997</v>
      </c>
    </row>
    <row r="17" spans="1:25">
      <c r="A17" s="1" t="s">
        <v>15</v>
      </c>
      <c r="B17" s="1" t="s">
        <v>58</v>
      </c>
      <c r="C17" s="3">
        <f ca="1">[1]!s_fa_debttoassets($A17,C$1)</f>
        <v>63.020600000000002</v>
      </c>
      <c r="D17" s="3">
        <f>[1]!s_fa_debttoassets($A17,D$1)</f>
        <v>63.020600000000002</v>
      </c>
      <c r="E17" s="3">
        <f>[1]!s_fa_debttoassets($A17,E$1)</f>
        <v>60.701700000000002</v>
      </c>
      <c r="F17" s="3">
        <f>[1]!s_fa_debttoassets($A17,F$1)</f>
        <v>60.234900000000003</v>
      </c>
      <c r="G17" s="3">
        <f>[1]!s_fa_debttoassets($A17,G$1)</f>
        <v>59.902000000000001</v>
      </c>
      <c r="H17" s="3">
        <f>[1]!s_fa_debttoassets($A17,H$1)</f>
        <v>60.657899999999998</v>
      </c>
      <c r="I17" s="3">
        <f>[1]!s_fa_debttoassets($A17,I$1)</f>
        <v>59.2624</v>
      </c>
      <c r="J17" s="3">
        <f>[1]!s_fa_debttoassets($A17,J$1)</f>
        <v>60.5642</v>
      </c>
      <c r="K17" s="3">
        <f>[1]!s_fa_debttoassets($A17,K$1)</f>
        <v>61.433100000000003</v>
      </c>
      <c r="L17" s="3">
        <f>[1]!s_fa_debttoassets($A17,L$1)</f>
        <v>62.360199999999999</v>
      </c>
      <c r="M17" s="3">
        <f>[1]!s_fa_debttoassets($A17,M$1)</f>
        <v>61.970700000000001</v>
      </c>
      <c r="N17" s="3">
        <f>[1]!s_fa_debttoassets($A17,N$1)</f>
        <v>62.1511</v>
      </c>
      <c r="O17" s="3">
        <f>[1]!s_fa_debttoassets($A17,O$1)</f>
        <v>61.853999999999999</v>
      </c>
      <c r="P17" s="3">
        <f>[1]!s_fa_debttoassets($A17,P$1)</f>
        <v>61.180900000000001</v>
      </c>
      <c r="Q17" s="3">
        <f>[1]!s_fa_debttoassets($A17,Q$1)</f>
        <v>60.386400000000002</v>
      </c>
      <c r="R17" s="3">
        <f>[1]!s_fa_debttoassets($A17,R$1)</f>
        <v>61.455300000000001</v>
      </c>
      <c r="S17" s="3">
        <f>[1]!s_fa_debttoassets($A17,S$1)</f>
        <v>63.792700000000004</v>
      </c>
      <c r="T17" s="3">
        <f>[1]!s_fa_debttoassets($A17,T$1)</f>
        <v>63.720100000000002</v>
      </c>
      <c r="U17" s="3">
        <f>[1]!s_fa_debttoassets($A17,U$1)</f>
        <v>62.991199999999999</v>
      </c>
      <c r="V17" s="3">
        <f>[1]!s_fa_debttoassets($A17,V$1)</f>
        <v>61.641199999999998</v>
      </c>
      <c r="W17" s="3">
        <f>[1]!s_fa_debttoassets($A17,W$1)</f>
        <v>62.057299999999998</v>
      </c>
      <c r="X17" s="3">
        <f>[1]!s_fa_debttoassets($A17,X$1)</f>
        <v>62.828699999999998</v>
      </c>
      <c r="Y17" s="3">
        <f>[1]!s_fa_debttoassets($A17,Y$1)</f>
        <v>59.760599999999997</v>
      </c>
    </row>
    <row r="18" spans="1:25">
      <c r="A18" s="1" t="s">
        <v>16</v>
      </c>
      <c r="B18" s="1" t="s">
        <v>59</v>
      </c>
      <c r="C18" s="3">
        <f ca="1">[1]!s_fa_debttoassets($A18,C$1)</f>
        <v>51.867899999999999</v>
      </c>
      <c r="D18" s="3">
        <f>[1]!s_fa_debttoassets($A18,D$1)</f>
        <v>51.867899999999999</v>
      </c>
      <c r="E18" s="3">
        <f>[1]!s_fa_debttoassets($A18,E$1)</f>
        <v>51.133200000000002</v>
      </c>
      <c r="F18" s="3">
        <f>[1]!s_fa_debttoassets($A18,F$1)</f>
        <v>52.971400000000003</v>
      </c>
      <c r="G18" s="3">
        <f>[1]!s_fa_debttoassets($A18,G$1)</f>
        <v>52.258600000000001</v>
      </c>
      <c r="H18" s="3">
        <f>[1]!s_fa_debttoassets($A18,H$1)</f>
        <v>52.424700000000001</v>
      </c>
      <c r="I18" s="3">
        <f>[1]!s_fa_debttoassets($A18,I$1)</f>
        <v>51.552799999999998</v>
      </c>
      <c r="J18" s="3">
        <f>[1]!s_fa_debttoassets($A18,J$1)</f>
        <v>51.961799999999997</v>
      </c>
      <c r="K18" s="3">
        <f>[1]!s_fa_debttoassets($A18,K$1)</f>
        <v>41.285499999999999</v>
      </c>
      <c r="L18" s="3">
        <f>[1]!s_fa_debttoassets($A18,L$1)</f>
        <v>42.155799999999999</v>
      </c>
      <c r="M18" s="3">
        <f>[1]!s_fa_debttoassets($A18,M$1)</f>
        <v>41.183700000000002</v>
      </c>
      <c r="N18" s="3">
        <f>[1]!s_fa_debttoassets($A18,N$1)</f>
        <v>42.182499999999997</v>
      </c>
      <c r="O18" s="3">
        <f>[1]!s_fa_debttoassets($A18,O$1)</f>
        <v>40.701099999999997</v>
      </c>
      <c r="P18" s="3">
        <f>[1]!s_fa_debttoassets($A18,P$1)</f>
        <v>40.155299999999997</v>
      </c>
      <c r="Q18" s="3">
        <f>[1]!s_fa_debttoassets($A18,Q$1)</f>
        <v>39.743099999999998</v>
      </c>
      <c r="R18" s="3">
        <f>[1]!s_fa_debttoassets($A18,R$1)</f>
        <v>43.729399999999998</v>
      </c>
      <c r="S18" s="3">
        <f>[1]!s_fa_debttoassets($A18,S$1)</f>
        <v>43.7453</v>
      </c>
      <c r="T18" s="3">
        <f>[1]!s_fa_debttoassets($A18,T$1)</f>
        <v>42.562100000000001</v>
      </c>
      <c r="U18" s="3">
        <f>[1]!s_fa_debttoassets($A18,U$1)</f>
        <v>43.758699999999997</v>
      </c>
      <c r="V18" s="3">
        <f>[1]!s_fa_debttoassets($A18,V$1)</f>
        <v>44.884</v>
      </c>
      <c r="W18" s="3">
        <f>[1]!s_fa_debttoassets($A18,W$1)</f>
        <v>44.9724</v>
      </c>
      <c r="X18" s="3">
        <f>[1]!s_fa_debttoassets($A18,X$1)</f>
        <v>45.759799999999998</v>
      </c>
      <c r="Y18" s="3">
        <f>[1]!s_fa_debttoassets($A18,Y$1)</f>
        <v>46.6004</v>
      </c>
    </row>
    <row r="19" spans="1:25">
      <c r="A19" s="1" t="s">
        <v>17</v>
      </c>
      <c r="B19" s="1" t="s">
        <v>60</v>
      </c>
      <c r="C19" s="3">
        <f ca="1">[1]!s_fa_debttoassets($A19,C$1)</f>
        <v>42.524700000000003</v>
      </c>
      <c r="D19" s="3">
        <f>[1]!s_fa_debttoassets($A19,D$1)</f>
        <v>42.524700000000003</v>
      </c>
      <c r="E19" s="3">
        <f>[1]!s_fa_debttoassets($A19,E$1)</f>
        <v>42.470599999999997</v>
      </c>
      <c r="F19" s="3">
        <f>[1]!s_fa_debttoassets($A19,F$1)</f>
        <v>42.912500000000001</v>
      </c>
      <c r="G19" s="3">
        <f>[1]!s_fa_debttoassets($A19,G$1)</f>
        <v>43.412599999999998</v>
      </c>
      <c r="H19" s="3">
        <f>[1]!s_fa_debttoassets($A19,H$1)</f>
        <v>44.631100000000004</v>
      </c>
      <c r="I19" s="3">
        <f>[1]!s_fa_debttoassets($A19,I$1)</f>
        <v>44.503</v>
      </c>
      <c r="J19" s="3">
        <f>[1]!s_fa_debttoassets($A19,J$1)</f>
        <v>44.697200000000002</v>
      </c>
      <c r="K19" s="3">
        <f>[1]!s_fa_debttoassets($A19,K$1)</f>
        <v>44.528399999999998</v>
      </c>
      <c r="L19" s="3">
        <f>[1]!s_fa_debttoassets($A19,L$1)</f>
        <v>45.213999999999999</v>
      </c>
      <c r="M19" s="3">
        <f>[1]!s_fa_debttoassets($A19,M$1)</f>
        <v>44.7883</v>
      </c>
      <c r="N19" s="3">
        <f>[1]!s_fa_debttoassets($A19,N$1)</f>
        <v>45.122500000000002</v>
      </c>
      <c r="O19" s="3">
        <f>[1]!s_fa_debttoassets($A19,O$1)</f>
        <v>44.383099999999999</v>
      </c>
      <c r="P19" s="3">
        <f>[1]!s_fa_debttoassets($A19,P$1)</f>
        <v>44.508400000000002</v>
      </c>
      <c r="Q19" s="3">
        <f>[1]!s_fa_debttoassets($A19,Q$1)</f>
        <v>42.877699999999997</v>
      </c>
      <c r="R19" s="3">
        <f>[1]!s_fa_debttoassets($A19,R$1)</f>
        <v>42.176400000000001</v>
      </c>
      <c r="S19" s="3">
        <f>[1]!s_fa_debttoassets($A19,S$1)</f>
        <v>41.525199999999998</v>
      </c>
      <c r="T19" s="3">
        <f>[1]!s_fa_debttoassets($A19,T$1)</f>
        <v>41.436199999999999</v>
      </c>
      <c r="U19" s="3">
        <f>[1]!s_fa_debttoassets($A19,U$1)</f>
        <v>42.604799999999997</v>
      </c>
      <c r="V19" s="3">
        <f>[1]!s_fa_debttoassets($A19,V$1)</f>
        <v>42.832099999999997</v>
      </c>
      <c r="W19" s="3">
        <f>[1]!s_fa_debttoassets($A19,W$1)</f>
        <v>43.034199999999998</v>
      </c>
      <c r="X19" s="3">
        <f>[1]!s_fa_debttoassets($A19,X$1)</f>
        <v>43.976700000000001</v>
      </c>
      <c r="Y19" s="3">
        <f>[1]!s_fa_debttoassets($A19,Y$1)</f>
        <v>45.575299999999999</v>
      </c>
    </row>
    <row r="20" spans="1:25">
      <c r="A20" s="1" t="s">
        <v>18</v>
      </c>
      <c r="B20" s="1" t="s">
        <v>61</v>
      </c>
      <c r="C20" s="3">
        <f ca="1">[1]!s_fa_debttoassets($A20,C$1)</f>
        <v>33.943600000000004</v>
      </c>
      <c r="D20" s="3">
        <f>[1]!s_fa_debttoassets($A20,D$1)</f>
        <v>33.943600000000004</v>
      </c>
      <c r="E20" s="3">
        <f>[1]!s_fa_debttoassets($A20,E$1)</f>
        <v>31.147600000000001</v>
      </c>
      <c r="F20" s="3">
        <f>[1]!s_fa_debttoassets($A20,F$1)</f>
        <v>33.693800000000003</v>
      </c>
      <c r="G20" s="3">
        <f>[1]!s_fa_debttoassets($A20,G$1)</f>
        <v>32.128500000000003</v>
      </c>
      <c r="H20" s="3">
        <f>[1]!s_fa_debttoassets($A20,H$1)</f>
        <v>33.283700000000003</v>
      </c>
      <c r="I20" s="3">
        <f>[1]!s_fa_debttoassets($A20,I$1)</f>
        <v>31.679099999999998</v>
      </c>
      <c r="J20" s="3">
        <f>[1]!s_fa_debttoassets($A20,J$1)</f>
        <v>35.263300000000001</v>
      </c>
      <c r="K20" s="3">
        <f>[1]!s_fa_debttoassets($A20,K$1)</f>
        <v>32.646700000000003</v>
      </c>
      <c r="L20" s="3">
        <f>[1]!s_fa_debttoassets($A20,L$1)</f>
        <v>34.231400000000001</v>
      </c>
      <c r="M20" s="3">
        <f>[1]!s_fa_debttoassets($A20,M$1)</f>
        <v>31.618600000000001</v>
      </c>
      <c r="N20" s="3">
        <f>[1]!s_fa_debttoassets($A20,N$1)</f>
        <v>33.941499999999998</v>
      </c>
      <c r="O20" s="3">
        <f>[1]!s_fa_debttoassets($A20,O$1)</f>
        <v>32.234999999999999</v>
      </c>
      <c r="P20" s="3">
        <f>[1]!s_fa_debttoassets($A20,P$1)</f>
        <v>33.2211</v>
      </c>
      <c r="Q20" s="3">
        <f>[1]!s_fa_debttoassets($A20,Q$1)</f>
        <v>31.854299999999999</v>
      </c>
      <c r="R20" s="3">
        <f>[1]!s_fa_debttoassets($A20,R$1)</f>
        <v>34.951999999999998</v>
      </c>
      <c r="S20" s="3">
        <f>[1]!s_fa_debttoassets($A20,S$1)</f>
        <v>34.223500000000001</v>
      </c>
      <c r="T20" s="3">
        <f>[1]!s_fa_debttoassets($A20,T$1)</f>
        <v>34.990600000000001</v>
      </c>
      <c r="U20" s="3">
        <f>[1]!s_fa_debttoassets($A20,U$1)</f>
        <v>32.879100000000001</v>
      </c>
      <c r="V20" s="3">
        <f>[1]!s_fa_debttoassets($A20,V$1)</f>
        <v>34.3553</v>
      </c>
      <c r="W20" s="3">
        <f>[1]!s_fa_debttoassets($A20,W$1)</f>
        <v>33.637700000000002</v>
      </c>
      <c r="X20" s="3">
        <f>[1]!s_fa_debttoassets($A20,X$1)</f>
        <v>33.258600000000001</v>
      </c>
      <c r="Y20" s="3">
        <f>[1]!s_fa_debttoassets($A20,Y$1)</f>
        <v>31.664200000000001</v>
      </c>
    </row>
    <row r="21" spans="1:25">
      <c r="A21" s="1" t="s">
        <v>19</v>
      </c>
      <c r="B21" s="1" t="s">
        <v>62</v>
      </c>
      <c r="C21" s="3">
        <f ca="1">[1]!s_fa_debttoassets($A21,C$1)</f>
        <v>54.676900000000003</v>
      </c>
      <c r="D21" s="3">
        <f>[1]!s_fa_debttoassets($A21,D$1)</f>
        <v>54.676900000000003</v>
      </c>
      <c r="E21" s="3">
        <f>[1]!s_fa_debttoassets($A21,E$1)</f>
        <v>51.451900000000002</v>
      </c>
      <c r="F21" s="3">
        <f>[1]!s_fa_debttoassets($A21,F$1)</f>
        <v>47.990299999999998</v>
      </c>
      <c r="G21" s="3">
        <f>[1]!s_fa_debttoassets($A21,G$1)</f>
        <v>48.683999999999997</v>
      </c>
      <c r="H21" s="3">
        <f>[1]!s_fa_debttoassets($A21,H$1)</f>
        <v>49.309199999999997</v>
      </c>
      <c r="I21" s="3">
        <f>[1]!s_fa_debttoassets($A21,I$1)</f>
        <v>48.176200000000001</v>
      </c>
      <c r="J21" s="3">
        <f>[1]!s_fa_debttoassets($A21,J$1)</f>
        <v>45.807400000000001</v>
      </c>
      <c r="K21" s="3">
        <f>[1]!s_fa_debttoassets($A21,K$1)</f>
        <v>47.3919</v>
      </c>
      <c r="L21" s="3">
        <f>[1]!s_fa_debttoassets($A21,L$1)</f>
        <v>49.4574</v>
      </c>
      <c r="M21" s="3">
        <f>[1]!s_fa_debttoassets($A21,M$1)</f>
        <v>50.6541</v>
      </c>
      <c r="N21" s="3">
        <f>[1]!s_fa_debttoassets($A21,N$1)</f>
        <v>49.673699999999997</v>
      </c>
      <c r="O21" s="3">
        <f>[1]!s_fa_debttoassets($A21,O$1)</f>
        <v>48.232700000000001</v>
      </c>
      <c r="P21" s="3">
        <f>[1]!s_fa_debttoassets($A21,P$1)</f>
        <v>48.472900000000003</v>
      </c>
      <c r="Q21" s="3">
        <f>[1]!s_fa_debttoassets($A21,Q$1)</f>
        <v>46.484699999999997</v>
      </c>
      <c r="R21" s="3">
        <f>[1]!s_fa_debttoassets($A21,R$1)</f>
        <v>45.4709</v>
      </c>
      <c r="S21" s="3">
        <f>[1]!s_fa_debttoassets($A21,S$1)</f>
        <v>43.603700000000003</v>
      </c>
      <c r="T21" s="3">
        <f>[1]!s_fa_debttoassets($A21,T$1)</f>
        <v>43.477400000000003</v>
      </c>
      <c r="U21" s="3">
        <f>[1]!s_fa_debttoassets($A21,U$1)</f>
        <v>43.2485</v>
      </c>
      <c r="V21" s="3">
        <f>[1]!s_fa_debttoassets($A21,V$1)</f>
        <v>43.920200000000001</v>
      </c>
      <c r="W21" s="3">
        <f>[1]!s_fa_debttoassets($A21,W$1)</f>
        <v>43.501300000000001</v>
      </c>
      <c r="X21" s="3">
        <f>[1]!s_fa_debttoassets($A21,X$1)</f>
        <v>42.918599999999998</v>
      </c>
      <c r="Y21" s="3">
        <f>[1]!s_fa_debttoassets($A21,Y$1)</f>
        <v>44.154499999999999</v>
      </c>
    </row>
    <row r="22" spans="1:25">
      <c r="A22" s="1" t="s">
        <v>20</v>
      </c>
      <c r="B22" s="1" t="s">
        <v>63</v>
      </c>
      <c r="C22" s="3">
        <f ca="1">[1]!s_fa_debttoassets($A22,C$1)</f>
        <v>91.945999999999998</v>
      </c>
      <c r="D22" s="3">
        <f>[1]!s_fa_debttoassets($A22,D$1)</f>
        <v>91.945999999999998</v>
      </c>
      <c r="E22" s="3">
        <f>[1]!s_fa_debttoassets($A22,E$1)</f>
        <v>91.899500000000003</v>
      </c>
      <c r="F22" s="3">
        <f>[1]!s_fa_debttoassets($A22,F$1)</f>
        <v>91.828900000000004</v>
      </c>
      <c r="G22" s="3">
        <f>[1]!s_fa_debttoassets($A22,G$1)</f>
        <v>92.035899999999998</v>
      </c>
      <c r="H22" s="3">
        <f>[1]!s_fa_debttoassets($A22,H$1)</f>
        <v>92.109200000000001</v>
      </c>
      <c r="I22" s="3">
        <f>[1]!s_fa_debttoassets($A22,I$1)</f>
        <v>91.817899999999995</v>
      </c>
      <c r="J22" s="3">
        <f>[1]!s_fa_debttoassets($A22,J$1)</f>
        <v>91.690200000000004</v>
      </c>
      <c r="K22" s="3">
        <f>[1]!s_fa_debttoassets($A22,K$1)</f>
        <v>91.758899999999997</v>
      </c>
      <c r="L22" s="3">
        <f>[1]!s_fa_debttoassets($A22,L$1)</f>
        <v>92.165700000000001</v>
      </c>
      <c r="M22" s="3">
        <f>[1]!s_fa_debttoassets($A22,M$1)</f>
        <v>92.122500000000002</v>
      </c>
      <c r="N22" s="3">
        <f>[1]!s_fa_debttoassets($A22,N$1)</f>
        <v>92.146900000000002</v>
      </c>
      <c r="O22" s="3">
        <f>[1]!s_fa_debttoassets($A22,O$1)</f>
        <v>92.324700000000007</v>
      </c>
      <c r="P22" s="3">
        <f>[1]!s_fa_debttoassets($A22,P$1)</f>
        <v>92.464100000000002</v>
      </c>
      <c r="Q22" s="3">
        <f>[1]!s_fa_debttoassets($A22,Q$1)</f>
        <v>92.481800000000007</v>
      </c>
      <c r="R22" s="3">
        <f>[1]!s_fa_debttoassets($A22,R$1)</f>
        <v>92.472399999999993</v>
      </c>
      <c r="S22" s="3">
        <f>[1]!s_fa_debttoassets($A22,S$1)</f>
        <v>92.642200000000003</v>
      </c>
      <c r="T22" s="3">
        <f>[1]!s_fa_debttoassets($A22,T$1)</f>
        <v>92.823400000000007</v>
      </c>
      <c r="U22" s="3">
        <f>[1]!s_fa_debttoassets($A22,U$1)</f>
        <v>92.736500000000007</v>
      </c>
      <c r="V22" s="3">
        <f>[1]!s_fa_debttoassets($A22,V$1)</f>
        <v>92.747799999999998</v>
      </c>
      <c r="W22" s="3">
        <f>[1]!s_fa_debttoassets($A22,W$1)</f>
        <v>92.646000000000001</v>
      </c>
      <c r="X22" s="3">
        <f>[1]!s_fa_debttoassets($A22,X$1)</f>
        <v>92.850999999999999</v>
      </c>
      <c r="Y22" s="3">
        <f>[1]!s_fa_debttoassets($A22,Y$1)</f>
        <v>92.612799999999993</v>
      </c>
    </row>
    <row r="23" spans="1:25">
      <c r="A23" s="1" t="s">
        <v>21</v>
      </c>
      <c r="B23" s="1" t="s">
        <v>64</v>
      </c>
      <c r="C23" s="3">
        <f ca="1">[1]!s_fa_debttoassets($A23,C$1)</f>
        <v>84.867599999999996</v>
      </c>
      <c r="D23" s="3">
        <f>[1]!s_fa_debttoassets($A23,D$1)</f>
        <v>84.867599999999996</v>
      </c>
      <c r="E23" s="3">
        <f>[1]!s_fa_debttoassets($A23,E$1)</f>
        <v>84.634299999999996</v>
      </c>
      <c r="F23" s="3">
        <f>[1]!s_fa_debttoassets($A23,F$1)</f>
        <v>84.377799999999993</v>
      </c>
      <c r="G23" s="3">
        <f>[1]!s_fa_debttoassets($A23,G$1)</f>
        <v>84.517600000000002</v>
      </c>
      <c r="H23" s="3">
        <f>[1]!s_fa_debttoassets($A23,H$1)</f>
        <v>84.7179</v>
      </c>
      <c r="I23" s="3">
        <f>[1]!s_fa_debttoassets($A23,I$1)</f>
        <v>84.343699999999998</v>
      </c>
      <c r="J23" s="3">
        <f>[1]!s_fa_debttoassets($A23,J$1)</f>
        <v>84.0398</v>
      </c>
      <c r="K23" s="3">
        <f>[1]!s_fa_debttoassets($A23,K$1)</f>
        <v>83.777600000000007</v>
      </c>
      <c r="L23" s="3">
        <f>[1]!s_fa_debttoassets($A23,L$1)</f>
        <v>84.156000000000006</v>
      </c>
      <c r="M23" s="3">
        <f>[1]!s_fa_debttoassets($A23,M$1)</f>
        <v>84.189099999999996</v>
      </c>
      <c r="N23" s="3">
        <f>[1]!s_fa_debttoassets($A23,N$1)</f>
        <v>84.2453</v>
      </c>
      <c r="O23" s="3">
        <f>[1]!s_fa_debttoassets($A23,O$1)</f>
        <v>84.419700000000006</v>
      </c>
      <c r="P23" s="3">
        <f>[1]!s_fa_debttoassets($A23,P$1)</f>
        <v>84.8536</v>
      </c>
      <c r="Q23" s="3">
        <f>[1]!s_fa_debttoassets($A23,Q$1)</f>
        <v>84.7226</v>
      </c>
      <c r="R23" s="3">
        <f>[1]!s_fa_debttoassets($A23,R$1)</f>
        <v>84.807299999999998</v>
      </c>
      <c r="S23" s="3">
        <f>[1]!s_fa_debttoassets($A23,S$1)</f>
        <v>85.003</v>
      </c>
      <c r="T23" s="3">
        <f>[1]!s_fa_debttoassets($A23,T$1)</f>
        <v>85.146199999999993</v>
      </c>
      <c r="U23" s="3">
        <f>[1]!s_fa_debttoassets($A23,U$1)</f>
        <v>85.088399999999993</v>
      </c>
      <c r="V23" s="3">
        <f>[1]!s_fa_debttoassets($A23,V$1)</f>
        <v>85.588200000000001</v>
      </c>
      <c r="W23" s="3">
        <f>[1]!s_fa_debttoassets($A23,W$1)</f>
        <v>85.212199999999996</v>
      </c>
      <c r="X23" s="3">
        <f>[1]!s_fa_debttoassets($A23,X$1)</f>
        <v>85.809600000000003</v>
      </c>
      <c r="Y23" s="3">
        <f>[1]!s_fa_debttoassets($A23,Y$1)</f>
        <v>85.673500000000004</v>
      </c>
    </row>
    <row r="24" spans="1:25">
      <c r="A24" s="1" t="s">
        <v>22</v>
      </c>
      <c r="B24" s="1" t="s">
        <v>65</v>
      </c>
      <c r="C24" s="3">
        <f ca="1">[1]!s_fa_debttoassets($A24,C$1)</f>
        <v>79.227099999999993</v>
      </c>
      <c r="D24" s="3">
        <f>[1]!s_fa_debttoassets($A24,D$1)</f>
        <v>79.227099999999993</v>
      </c>
      <c r="E24" s="3">
        <f>[1]!s_fa_debttoassets($A24,E$1)</f>
        <v>79.252300000000005</v>
      </c>
      <c r="F24" s="3">
        <f>[1]!s_fa_debttoassets($A24,F$1)</f>
        <v>79.139200000000002</v>
      </c>
      <c r="G24" s="3">
        <f>[1]!s_fa_debttoassets($A24,G$1)</f>
        <v>79.632599999999996</v>
      </c>
      <c r="H24" s="3">
        <f>[1]!s_fa_debttoassets($A24,H$1)</f>
        <v>79.572999999999993</v>
      </c>
      <c r="I24" s="3">
        <f>[1]!s_fa_debttoassets($A24,I$1)</f>
        <v>79.242900000000006</v>
      </c>
      <c r="J24" s="3">
        <f>[1]!s_fa_debttoassets($A24,J$1)</f>
        <v>79.240600000000001</v>
      </c>
      <c r="K24" s="3">
        <f>[1]!s_fa_debttoassets($A24,K$1)</f>
        <v>80.295400000000001</v>
      </c>
      <c r="L24" s="3">
        <f>[1]!s_fa_debttoassets($A24,L$1)</f>
        <v>80.281000000000006</v>
      </c>
      <c r="M24" s="3">
        <f>[1]!s_fa_debttoassets($A24,M$1)</f>
        <v>79.8155</v>
      </c>
      <c r="N24" s="3">
        <f>[1]!s_fa_debttoassets($A24,N$1)</f>
        <v>79.811800000000005</v>
      </c>
      <c r="O24" s="3">
        <f>[1]!s_fa_debttoassets($A24,O$1)</f>
        <v>80.027500000000003</v>
      </c>
      <c r="P24" s="3">
        <f>[1]!s_fa_debttoassets($A24,P$1)</f>
        <v>79.675899999999999</v>
      </c>
      <c r="Q24" s="3">
        <f>[1]!s_fa_debttoassets($A24,Q$1)</f>
        <v>79.052000000000007</v>
      </c>
      <c r="R24" s="3">
        <f>[1]!s_fa_debttoassets($A24,R$1)</f>
        <v>78.698499999999996</v>
      </c>
      <c r="S24" s="3">
        <f>[1]!s_fa_debttoassets($A24,S$1)</f>
        <v>79.020399999999995</v>
      </c>
      <c r="T24" s="3">
        <f>[1]!s_fa_debttoassets($A24,T$1)</f>
        <v>78.311999999999998</v>
      </c>
      <c r="U24" s="3">
        <f>[1]!s_fa_debttoassets($A24,U$1)</f>
        <v>77.343999999999994</v>
      </c>
      <c r="V24" s="3">
        <f>[1]!s_fa_debttoassets($A24,V$1)</f>
        <v>76.992500000000007</v>
      </c>
      <c r="W24" s="3">
        <f>[1]!s_fa_debttoassets($A24,W$1)</f>
        <v>77.229100000000003</v>
      </c>
      <c r="X24" s="3">
        <f>[1]!s_fa_debttoassets($A24,X$1)</f>
        <v>76.661799999999999</v>
      </c>
      <c r="Y24" s="3">
        <f>[1]!s_fa_debttoassets($A24,Y$1)</f>
        <v>76.4803</v>
      </c>
    </row>
    <row r="25" spans="1:25">
      <c r="A25" s="1" t="s">
        <v>23</v>
      </c>
      <c r="B25" s="1" t="s">
        <v>66</v>
      </c>
      <c r="C25" s="3">
        <f ca="1">[1]!s_fa_debttoassets($A25,C$1)</f>
        <v>59.806399999999996</v>
      </c>
      <c r="D25" s="3">
        <f>[1]!s_fa_debttoassets($A25,D$1)</f>
        <v>59.806399999999996</v>
      </c>
      <c r="E25" s="3">
        <f>[1]!s_fa_debttoassets($A25,E$1)</f>
        <v>59.695799999999998</v>
      </c>
      <c r="F25" s="3">
        <f>[1]!s_fa_debttoassets($A25,F$1)</f>
        <v>57.814</v>
      </c>
      <c r="G25" s="3">
        <f>[1]!s_fa_debttoassets($A25,G$1)</f>
        <v>57.468400000000003</v>
      </c>
      <c r="H25" s="3">
        <f>[1]!s_fa_debttoassets($A25,H$1)</f>
        <v>58.008099999999999</v>
      </c>
      <c r="I25" s="3">
        <f>[1]!s_fa_debttoassets($A25,I$1)</f>
        <v>59.494599999999998</v>
      </c>
      <c r="J25" s="3">
        <f>[1]!s_fa_debttoassets($A25,J$1)</f>
        <v>58.372999999999998</v>
      </c>
      <c r="K25" s="3">
        <f>[1]!s_fa_debttoassets($A25,K$1)</f>
        <v>58.565199999999997</v>
      </c>
      <c r="L25" s="3">
        <f>[1]!s_fa_debttoassets($A25,L$1)</f>
        <v>58.987200000000001</v>
      </c>
      <c r="M25" s="3">
        <f>[1]!s_fa_debttoassets($A25,M$1)</f>
        <v>58.771900000000002</v>
      </c>
      <c r="N25" s="3">
        <f>[1]!s_fa_debttoassets($A25,N$1)</f>
        <v>57.319000000000003</v>
      </c>
      <c r="O25" s="3">
        <f>[1]!s_fa_debttoassets($A25,O$1)</f>
        <v>58.217199999999998</v>
      </c>
      <c r="P25" s="3">
        <f>[1]!s_fa_debttoassets($A25,P$1)</f>
        <v>57.815600000000003</v>
      </c>
      <c r="Q25" s="3">
        <f>[1]!s_fa_debttoassets($A25,Q$1)</f>
        <v>56.288800000000002</v>
      </c>
      <c r="R25" s="3">
        <f>[1]!s_fa_debttoassets($A25,R$1)</f>
        <v>57.775399999999998</v>
      </c>
      <c r="S25" s="3">
        <f>[1]!s_fa_debttoassets($A25,S$1)</f>
        <v>57.690800000000003</v>
      </c>
      <c r="T25" s="3">
        <f>[1]!s_fa_debttoassets($A25,T$1)</f>
        <v>58.235199999999999</v>
      </c>
      <c r="U25" s="3">
        <f>[1]!s_fa_debttoassets($A25,U$1)</f>
        <v>58.061599999999999</v>
      </c>
      <c r="V25" s="3">
        <f>[1]!s_fa_debttoassets($A25,V$1)</f>
        <v>58.527299999999997</v>
      </c>
      <c r="W25" s="3">
        <f>[1]!s_fa_debttoassets($A25,W$1)</f>
        <v>57.832099999999997</v>
      </c>
      <c r="X25" s="3">
        <f>[1]!s_fa_debttoassets($A25,X$1)</f>
        <v>58.9056</v>
      </c>
      <c r="Y25" s="3">
        <f>[1]!s_fa_debttoassets($A25,Y$1)</f>
        <v>57.449800000000003</v>
      </c>
    </row>
    <row r="26" spans="1:25">
      <c r="A26" s="1" t="s">
        <v>24</v>
      </c>
      <c r="B26" s="1" t="s">
        <v>67</v>
      </c>
      <c r="C26" s="3">
        <f ca="1">[1]!s_fa_debttoassets($A26,C$1)</f>
        <v>48.924999999999997</v>
      </c>
      <c r="D26" s="3">
        <f>[1]!s_fa_debttoassets($A26,D$1)</f>
        <v>48.924999999999997</v>
      </c>
      <c r="E26" s="3">
        <f>[1]!s_fa_debttoassets($A26,E$1)</f>
        <v>50.871699999999997</v>
      </c>
      <c r="F26" s="3">
        <f>[1]!s_fa_debttoassets($A26,F$1)</f>
        <v>49.851799999999997</v>
      </c>
      <c r="G26" s="3">
        <f>[1]!s_fa_debttoassets($A26,G$1)</f>
        <v>51.396799999999999</v>
      </c>
      <c r="H26" s="3">
        <f>[1]!s_fa_debttoassets($A26,H$1)</f>
        <v>51.335900000000002</v>
      </c>
      <c r="I26" s="3">
        <f>[1]!s_fa_debttoassets($A26,I$1)</f>
        <v>51.394500000000001</v>
      </c>
      <c r="J26" s="3">
        <f>[1]!s_fa_debttoassets($A26,J$1)</f>
        <v>52.145299999999999</v>
      </c>
      <c r="K26" s="3">
        <f>[1]!s_fa_debttoassets($A26,K$1)</f>
        <v>52.664099999999998</v>
      </c>
      <c r="L26" s="3">
        <f>[1]!s_fa_debttoassets($A26,L$1)</f>
        <v>52.819499999999998</v>
      </c>
      <c r="M26" s="3">
        <f>[1]!s_fa_debttoassets($A26,M$1)</f>
        <v>51.451500000000003</v>
      </c>
      <c r="N26" s="3">
        <f>[1]!s_fa_debttoassets($A26,N$1)</f>
        <v>52.254399999999997</v>
      </c>
      <c r="O26" s="3">
        <f>[1]!s_fa_debttoassets($A26,O$1)</f>
        <v>51.899099999999997</v>
      </c>
      <c r="P26" s="3">
        <f>[1]!s_fa_debttoassets($A26,P$1)</f>
        <v>51.04</v>
      </c>
      <c r="Q26" s="3">
        <f>[1]!s_fa_debttoassets($A26,Q$1)</f>
        <v>49.480800000000002</v>
      </c>
      <c r="R26" s="3">
        <f>[1]!s_fa_debttoassets($A26,R$1)</f>
        <v>49.6663</v>
      </c>
      <c r="S26" s="3">
        <f>[1]!s_fa_debttoassets($A26,S$1)</f>
        <v>50.288600000000002</v>
      </c>
      <c r="T26" s="3">
        <f>[1]!s_fa_debttoassets($A26,T$1)</f>
        <v>49.607300000000002</v>
      </c>
      <c r="U26" s="3">
        <f>[1]!s_fa_debttoassets($A26,U$1)</f>
        <v>48.734499999999997</v>
      </c>
      <c r="V26" s="3">
        <f>[1]!s_fa_debttoassets($A26,V$1)</f>
        <v>48.634799999999998</v>
      </c>
      <c r="W26" s="3">
        <f>[1]!s_fa_debttoassets($A26,W$1)</f>
        <v>45.399500000000003</v>
      </c>
      <c r="X26" s="3">
        <f>[1]!s_fa_debttoassets($A26,X$1)</f>
        <v>45.453299999999999</v>
      </c>
      <c r="Y26" s="3">
        <f>[1]!s_fa_debttoassets($A26,Y$1)</f>
        <v>43.7121</v>
      </c>
    </row>
    <row r="27" spans="1:25">
      <c r="A27" s="1" t="s">
        <v>25</v>
      </c>
      <c r="B27" s="1" t="s">
        <v>68</v>
      </c>
      <c r="C27" s="3">
        <f ca="1">[1]!s_fa_debttoassets($A27,C$1)</f>
        <v>49.351300000000002</v>
      </c>
      <c r="D27" s="3">
        <f>[1]!s_fa_debttoassets($A27,D$1)</f>
        <v>49.351300000000002</v>
      </c>
      <c r="E27" s="3">
        <f>[1]!s_fa_debttoassets($A27,E$1)</f>
        <v>48.733199999999997</v>
      </c>
      <c r="F27" s="3">
        <f>[1]!s_fa_debttoassets($A27,F$1)</f>
        <v>49.931600000000003</v>
      </c>
      <c r="G27" s="3">
        <f>[1]!s_fa_debttoassets($A27,G$1)</f>
        <v>50.9694</v>
      </c>
      <c r="H27" s="3">
        <f>[1]!s_fa_debttoassets($A27,H$1)</f>
        <v>51.313800000000001</v>
      </c>
      <c r="I27" s="3">
        <f>[1]!s_fa_debttoassets($A27,I$1)</f>
        <v>50.397399999999998</v>
      </c>
      <c r="J27" s="3">
        <f>[1]!s_fa_debttoassets($A27,J$1)</f>
        <v>51.493699999999997</v>
      </c>
      <c r="K27" s="3">
        <f>[1]!s_fa_debttoassets($A27,K$1)</f>
        <v>52.782699999999998</v>
      </c>
      <c r="L27" s="3">
        <f>[1]!s_fa_debttoassets($A27,L$1)</f>
        <v>52.140300000000003</v>
      </c>
      <c r="M27" s="3">
        <f>[1]!s_fa_debttoassets($A27,M$1)</f>
        <v>51.23</v>
      </c>
      <c r="N27" s="3">
        <f>[1]!s_fa_debttoassets($A27,N$1)</f>
        <v>51.678100000000001</v>
      </c>
      <c r="O27" s="3">
        <f>[1]!s_fa_debttoassets($A27,O$1)</f>
        <v>52.242400000000004</v>
      </c>
      <c r="P27" s="3">
        <f>[1]!s_fa_debttoassets($A27,P$1)</f>
        <v>49.646099999999997</v>
      </c>
      <c r="Q27" s="3">
        <f>[1]!s_fa_debttoassets($A27,Q$1)</f>
        <v>49.610900000000001</v>
      </c>
      <c r="R27" s="3">
        <f>[1]!s_fa_debttoassets($A27,R$1)</f>
        <v>49.567399999999999</v>
      </c>
      <c r="S27" s="3">
        <f>[1]!s_fa_debttoassets($A27,S$1)</f>
        <v>55.607599999999998</v>
      </c>
      <c r="T27" s="3">
        <f>[1]!s_fa_debttoassets($A27,T$1)</f>
        <v>56.119500000000002</v>
      </c>
      <c r="U27" s="3">
        <f>[1]!s_fa_debttoassets($A27,U$1)</f>
        <v>56.143000000000001</v>
      </c>
      <c r="V27" s="3">
        <f>[1]!s_fa_debttoassets($A27,V$1)</f>
        <v>58.180799999999998</v>
      </c>
      <c r="W27" s="3">
        <f>[1]!s_fa_debttoassets($A27,W$1)</f>
        <v>56.935699999999997</v>
      </c>
      <c r="X27" s="3">
        <f>[1]!s_fa_debttoassets($A27,X$1)</f>
        <v>57.206899999999997</v>
      </c>
      <c r="Y27" s="3">
        <f>[1]!s_fa_debttoassets($A27,Y$1)</f>
        <v>57.673499999999997</v>
      </c>
    </row>
    <row r="28" spans="1:25">
      <c r="A28" s="1" t="s">
        <v>26</v>
      </c>
      <c r="B28" s="1" t="s">
        <v>69</v>
      </c>
      <c r="C28" s="3">
        <f ca="1">[1]!s_fa_debttoassets($A28,C$1)</f>
        <v>49.7468</v>
      </c>
      <c r="D28" s="3">
        <f>[1]!s_fa_debttoassets($A28,D$1)</f>
        <v>49.7468</v>
      </c>
      <c r="E28" s="3">
        <f>[1]!s_fa_debttoassets($A28,E$1)</f>
        <v>49.2654</v>
      </c>
      <c r="F28" s="3">
        <f>[1]!s_fa_debttoassets($A28,F$1)</f>
        <v>49.5535</v>
      </c>
      <c r="G28" s="3">
        <f>[1]!s_fa_debttoassets($A28,G$1)</f>
        <v>48.347099999999998</v>
      </c>
      <c r="H28" s="3">
        <f>[1]!s_fa_debttoassets($A28,H$1)</f>
        <v>49.767600000000002</v>
      </c>
      <c r="I28" s="3">
        <f>[1]!s_fa_debttoassets($A28,I$1)</f>
        <v>44.9679</v>
      </c>
      <c r="J28" s="3">
        <f>[1]!s_fa_debttoassets($A28,J$1)</f>
        <v>45.4589</v>
      </c>
      <c r="K28" s="3">
        <f>[1]!s_fa_debttoassets($A28,K$1)</f>
        <v>42.521700000000003</v>
      </c>
      <c r="L28" s="3">
        <f>[1]!s_fa_debttoassets($A28,L$1)</f>
        <v>40.295400000000001</v>
      </c>
      <c r="M28" s="3">
        <f>[1]!s_fa_debttoassets($A28,M$1)</f>
        <v>40.545200000000001</v>
      </c>
      <c r="N28" s="3">
        <f>[1]!s_fa_debttoassets($A28,N$1)</f>
        <v>42.075099999999999</v>
      </c>
      <c r="O28" s="3">
        <f>[1]!s_fa_debttoassets($A28,O$1)</f>
        <v>39.741700000000002</v>
      </c>
      <c r="P28" s="3">
        <f>[1]!s_fa_debttoassets($A28,P$1)</f>
        <v>39.101900000000001</v>
      </c>
      <c r="Q28" s="3">
        <f>[1]!s_fa_debttoassets($A28,Q$1)</f>
        <v>38.990499999999997</v>
      </c>
      <c r="R28" s="3">
        <f>[1]!s_fa_debttoassets($A28,R$1)</f>
        <v>41.212499999999999</v>
      </c>
      <c r="S28" s="3">
        <f>[1]!s_fa_debttoassets($A28,S$1)</f>
        <v>39.9178</v>
      </c>
      <c r="T28" s="3">
        <f>[1]!s_fa_debttoassets($A28,T$1)</f>
        <v>39.018300000000004</v>
      </c>
      <c r="U28" s="3">
        <f>[1]!s_fa_debttoassets($A28,U$1)</f>
        <v>37.307400000000001</v>
      </c>
      <c r="V28" s="3">
        <f>[1]!s_fa_debttoassets($A28,V$1)</f>
        <v>39.023499999999999</v>
      </c>
      <c r="W28" s="3">
        <f>[1]!s_fa_debttoassets($A28,W$1)</f>
        <v>36.874899999999997</v>
      </c>
      <c r="X28" s="3">
        <f>[1]!s_fa_debttoassets($A28,X$1)</f>
        <v>36.821199999999997</v>
      </c>
      <c r="Y28" s="3">
        <f>[1]!s_fa_debttoassets($A28,Y$1)</f>
        <v>38.627200000000002</v>
      </c>
    </row>
    <row r="29" spans="1:25">
      <c r="A29" s="1" t="s">
        <v>27</v>
      </c>
      <c r="B29" s="1" t="s">
        <v>70</v>
      </c>
      <c r="C29" s="3">
        <f ca="1">[1]!s_fa_debttoassets($A29,C$1)</f>
        <v>39.328099999999999</v>
      </c>
      <c r="D29" s="3">
        <f>[1]!s_fa_debttoassets($A29,D$1)</f>
        <v>39.328099999999999</v>
      </c>
      <c r="E29" s="3">
        <f>[1]!s_fa_debttoassets($A29,E$1)</f>
        <v>39.6008</v>
      </c>
      <c r="F29" s="3">
        <f>[1]!s_fa_debttoassets($A29,F$1)</f>
        <v>38.032200000000003</v>
      </c>
      <c r="G29" s="3">
        <f>[1]!s_fa_debttoassets($A29,G$1)</f>
        <v>37.206299999999999</v>
      </c>
      <c r="H29" s="3">
        <f>[1]!s_fa_debttoassets($A29,H$1)</f>
        <v>38.625799999999998</v>
      </c>
      <c r="I29" s="3">
        <f>[1]!s_fa_debttoassets($A29,I$1)</f>
        <v>38.871099999999998</v>
      </c>
      <c r="J29" s="3">
        <f>[1]!s_fa_debttoassets($A29,J$1)</f>
        <v>39.230400000000003</v>
      </c>
      <c r="K29" s="3">
        <f>[1]!s_fa_debttoassets($A29,K$1)</f>
        <v>37.9163</v>
      </c>
      <c r="L29" s="3">
        <f>[1]!s_fa_debttoassets($A29,L$1)</f>
        <v>40.1965</v>
      </c>
      <c r="M29" s="3">
        <f>[1]!s_fa_debttoassets($A29,M$1)</f>
        <v>39.509399999999999</v>
      </c>
      <c r="N29" s="3">
        <f>[1]!s_fa_debttoassets($A29,N$1)</f>
        <v>39.1937</v>
      </c>
      <c r="O29" s="3">
        <f>[1]!s_fa_debttoassets($A29,O$1)</f>
        <v>37.6907</v>
      </c>
      <c r="P29" s="3">
        <f>[1]!s_fa_debttoassets($A29,P$1)</f>
        <v>37.954900000000002</v>
      </c>
      <c r="Q29" s="3">
        <f>[1]!s_fa_debttoassets($A29,Q$1)</f>
        <v>37.714199999999998</v>
      </c>
      <c r="R29" s="3">
        <f>[1]!s_fa_debttoassets($A29,R$1)</f>
        <v>38.368699999999997</v>
      </c>
      <c r="S29" s="3">
        <f>[1]!s_fa_debttoassets($A29,S$1)</f>
        <v>37.038499999999999</v>
      </c>
      <c r="T29" s="3">
        <f>[1]!s_fa_debttoassets($A29,T$1)</f>
        <v>35.643999999999998</v>
      </c>
      <c r="U29" s="3">
        <f>[1]!s_fa_debttoassets($A29,U$1)</f>
        <v>35.358699999999999</v>
      </c>
      <c r="V29" s="3">
        <f>[1]!s_fa_debttoassets($A29,V$1)</f>
        <v>36.8108</v>
      </c>
      <c r="W29" s="3">
        <f>[1]!s_fa_debttoassets($A29,W$1)</f>
        <v>36.267000000000003</v>
      </c>
      <c r="X29" s="3">
        <f>[1]!s_fa_debttoassets($A29,X$1)</f>
        <v>37.294899999999998</v>
      </c>
      <c r="Y29" s="3">
        <f>[1]!s_fa_debttoassets($A29,Y$1)</f>
        <v>36.6295</v>
      </c>
    </row>
    <row r="30" spans="1:25">
      <c r="A30" s="1" t="s">
        <v>28</v>
      </c>
      <c r="B30" s="1" t="s">
        <v>71</v>
      </c>
      <c r="C30" s="3">
        <f ca="1">[1]!s_fa_debttoassets($A30,C$1)</f>
        <v>67.028499999999994</v>
      </c>
      <c r="D30" s="3">
        <f>[1]!s_fa_debttoassets($A30,D$1)</f>
        <v>67.028499999999994</v>
      </c>
      <c r="E30" s="3">
        <f>[1]!s_fa_debttoassets($A30,E$1)</f>
        <v>67.332999999999998</v>
      </c>
      <c r="F30" s="3">
        <f>[1]!s_fa_debttoassets($A30,F$1)</f>
        <v>65.843999999999994</v>
      </c>
      <c r="G30" s="3">
        <f>[1]!s_fa_debttoassets($A30,G$1)</f>
        <v>65.487099999999998</v>
      </c>
      <c r="H30" s="3">
        <f>[1]!s_fa_debttoassets($A30,H$1)</f>
        <v>65.693100000000001</v>
      </c>
      <c r="I30" s="3">
        <f>[1]!s_fa_debttoassets($A30,I$1)</f>
        <v>66.327100000000002</v>
      </c>
      <c r="J30" s="3">
        <f>[1]!s_fa_debttoassets($A30,J$1)</f>
        <v>64.618300000000005</v>
      </c>
      <c r="K30" s="3">
        <f>[1]!s_fa_debttoassets($A30,K$1)</f>
        <v>64.632300000000001</v>
      </c>
      <c r="L30" s="3">
        <f>[1]!s_fa_debttoassets($A30,L$1)</f>
        <v>65.1571</v>
      </c>
      <c r="M30" s="3">
        <f>[1]!s_fa_debttoassets($A30,M$1)</f>
        <v>65.465199999999996</v>
      </c>
      <c r="N30" s="3">
        <f>[1]!s_fa_debttoassets($A30,N$1)</f>
        <v>64.660899999999998</v>
      </c>
      <c r="O30" s="3">
        <f>[1]!s_fa_debttoassets($A30,O$1)</f>
        <v>63.847700000000003</v>
      </c>
      <c r="P30" s="3">
        <f>[1]!s_fa_debttoassets($A30,P$1)</f>
        <v>63.512700000000002</v>
      </c>
      <c r="Q30" s="3">
        <f>[1]!s_fa_debttoassets($A30,Q$1)</f>
        <v>63.2241</v>
      </c>
      <c r="R30" s="3">
        <f>[1]!s_fa_debttoassets($A30,R$1)</f>
        <v>64.771100000000004</v>
      </c>
      <c r="S30" s="3">
        <f>[1]!s_fa_debttoassets($A30,S$1)</f>
        <v>65.337500000000006</v>
      </c>
      <c r="T30" s="3">
        <f>[1]!s_fa_debttoassets($A30,T$1)</f>
        <v>65.369500000000002</v>
      </c>
      <c r="U30" s="3">
        <f>[1]!s_fa_debttoassets($A30,U$1)</f>
        <v>64.658100000000005</v>
      </c>
      <c r="V30" s="3">
        <f>[1]!s_fa_debttoassets($A30,V$1)</f>
        <v>64.742999999999995</v>
      </c>
      <c r="W30" s="3">
        <f>[1]!s_fa_debttoassets($A30,W$1)</f>
        <v>63.503</v>
      </c>
      <c r="X30" s="3">
        <f>[1]!s_fa_debttoassets($A30,X$1)</f>
        <v>64.731499999999997</v>
      </c>
      <c r="Y30" s="3">
        <f>[1]!s_fa_debttoassets($A30,Y$1)</f>
        <v>64.112899999999996</v>
      </c>
    </row>
    <row r="31" spans="1:25">
      <c r="A31" s="1" t="s">
        <v>29</v>
      </c>
      <c r="B31" s="1" t="s">
        <v>72</v>
      </c>
      <c r="C31" s="3">
        <f ca="1">[1]!s_fa_debttoassets($A31,C$1)</f>
        <v>66.764600000000002</v>
      </c>
      <c r="D31" s="3">
        <f>[1]!s_fa_debttoassets($A31,D$1)</f>
        <v>66.764600000000002</v>
      </c>
      <c r="E31" s="3">
        <f>[1]!s_fa_debttoassets($A31,E$1)</f>
        <v>63.226399999999998</v>
      </c>
      <c r="F31" s="3">
        <f>[1]!s_fa_debttoassets($A31,F$1)</f>
        <v>60.637700000000002</v>
      </c>
      <c r="G31" s="3">
        <f>[1]!s_fa_debttoassets($A31,G$1)</f>
        <v>59.650199999999998</v>
      </c>
      <c r="H31" s="3">
        <f>[1]!s_fa_debttoassets($A31,H$1)</f>
        <v>59.037999999999997</v>
      </c>
      <c r="I31" s="3">
        <f>[1]!s_fa_debttoassets($A31,I$1)</f>
        <v>50.185600000000001</v>
      </c>
      <c r="J31" s="3">
        <f>[1]!s_fa_debttoassets($A31,J$1)</f>
        <v>50.775799999999997</v>
      </c>
      <c r="K31" s="3" t="str">
        <f>[1]!s_fa_debttoassets($A31,K$1)</f>
        <v>#N/A</v>
      </c>
      <c r="L31" s="3" t="str">
        <f>[1]!s_fa_debttoassets($A31,L$1)</f>
        <v>#N/A</v>
      </c>
      <c r="M31" s="3" t="str">
        <f>[1]!s_fa_debttoassets($A31,M$1)</f>
        <v>#N/A</v>
      </c>
      <c r="N31" s="3" t="str">
        <f>[1]!s_fa_debttoassets($A31,N$1)</f>
        <v>#N/A</v>
      </c>
      <c r="O31" s="3" t="str">
        <f>[1]!s_fa_debttoassets($A31,O$1)</f>
        <v>#N/A</v>
      </c>
      <c r="P31" s="3" t="str">
        <f>[1]!s_fa_debttoassets($A31,P$1)</f>
        <v>#N/A</v>
      </c>
      <c r="Q31" s="3" t="str">
        <f>[1]!s_fa_debttoassets($A31,Q$1)</f>
        <v>#N/A</v>
      </c>
      <c r="R31" s="3" t="str">
        <f>[1]!s_fa_debttoassets($A31,R$1)</f>
        <v>#N/A</v>
      </c>
      <c r="S31" s="3" t="str">
        <f>[1]!s_fa_debttoassets($A31,S$1)</f>
        <v>#N/A</v>
      </c>
      <c r="T31" s="3" t="str">
        <f>[1]!s_fa_debttoassets($A31,T$1)</f>
        <v>#N/A</v>
      </c>
      <c r="U31" s="3" t="str">
        <f>[1]!s_fa_debttoassets($A31,U$1)</f>
        <v>#N/A</v>
      </c>
      <c r="V31" s="3" t="str">
        <f>[1]!s_fa_debttoassets($A31,V$1)</f>
        <v>#N/A</v>
      </c>
      <c r="W31" s="3" t="str">
        <f>[1]!s_fa_debttoassets($A31,W$1)</f>
        <v>#N/A</v>
      </c>
      <c r="X31" s="3" t="str">
        <f>[1]!s_fa_debttoassets($A31,X$1)</f>
        <v>#N/A</v>
      </c>
      <c r="Y31" s="3" t="str">
        <f>[1]!s_fa_debttoassets($A31,Y$1)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H1" display="资产负债率" xr:uid="{1FC15DBA-8060-FE44-8CC8-66414D33B32C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2C5B1-3E17-3249-A79A-5BA0A2E950F4}">
  <sheetPr codeName="Sheet6"/>
  <dimension ref="A1:Y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baseColWidth="10" defaultRowHeight="16"/>
  <cols>
    <col min="3" max="3" width="12" bestFit="1" customWidth="1"/>
    <col min="4" max="25" width="12.1640625" bestFit="1" customWidth="1"/>
  </cols>
  <sheetData>
    <row r="1" spans="1:25">
      <c r="A1" s="6" t="s">
        <v>30</v>
      </c>
      <c r="B1" s="14">
        <f ca="1">TODAY()</f>
        <v>44440</v>
      </c>
      <c r="C1" s="4">
        <f ca="1">[1]!TDays("2016-01-01",B1,"Days=Alldays","Period=Q","Direction=H","Order=D","cols=23;rows=1")</f>
        <v>44440</v>
      </c>
      <c r="D1" s="2">
        <v>44377</v>
      </c>
      <c r="E1" s="2">
        <v>44286</v>
      </c>
      <c r="F1" s="2">
        <v>44196</v>
      </c>
      <c r="G1" s="2">
        <v>44104</v>
      </c>
      <c r="H1" s="2">
        <v>44012</v>
      </c>
      <c r="I1" s="2">
        <v>43921</v>
      </c>
      <c r="J1" s="2">
        <v>43830</v>
      </c>
      <c r="K1" s="2">
        <v>43738</v>
      </c>
      <c r="L1" s="2">
        <v>43646</v>
      </c>
      <c r="M1" s="2">
        <v>43555</v>
      </c>
      <c r="N1" s="2">
        <v>43465</v>
      </c>
      <c r="O1" s="2">
        <v>43373</v>
      </c>
      <c r="P1" s="2">
        <v>43281</v>
      </c>
      <c r="Q1" s="2">
        <v>43190</v>
      </c>
      <c r="R1" s="2">
        <v>43100</v>
      </c>
      <c r="S1" s="2">
        <v>43008</v>
      </c>
      <c r="T1" s="2">
        <v>42916</v>
      </c>
      <c r="U1" s="2">
        <v>42825</v>
      </c>
      <c r="V1" s="2">
        <v>42735</v>
      </c>
      <c r="W1" s="2">
        <v>42643</v>
      </c>
      <c r="X1" s="2">
        <v>42551</v>
      </c>
      <c r="Y1" s="2">
        <v>42460</v>
      </c>
    </row>
    <row r="2" spans="1:25">
      <c r="A2" s="1" t="s">
        <v>0</v>
      </c>
      <c r="B2" s="1" t="s">
        <v>43</v>
      </c>
      <c r="C2" s="3">
        <f ca="1">[1]!s_fa_dupont_faturnover($A2,C$1)</f>
        <v>0.53269999999999995</v>
      </c>
      <c r="D2" s="3">
        <f>[1]!s_fa_dupont_faturnover($A2,D$1)</f>
        <v>0.53269999999999995</v>
      </c>
      <c r="E2" s="3">
        <f>[1]!s_fa_dupont_faturnover($A2,E$1)</f>
        <v>0.2475</v>
      </c>
      <c r="F2" s="3">
        <f>[1]!s_fa_dupont_faturnover($A2,F$1)</f>
        <v>0.88890000000000002</v>
      </c>
      <c r="G2" s="3">
        <f>[1]!s_fa_dupont_faturnover($A2,G$1)</f>
        <v>0.64200000000000002</v>
      </c>
      <c r="H2" s="3">
        <f>[1]!s_fa_dupont_faturnover($A2,H$1)</f>
        <v>0.41739999999999999</v>
      </c>
      <c r="I2" s="3">
        <f>[1]!s_fa_dupont_faturnover($A2,I$1)</f>
        <v>0.21909999999999999</v>
      </c>
      <c r="J2" s="3">
        <f>[1]!s_fa_dupont_faturnover($A2,J$1)</f>
        <v>1.1982999999999999</v>
      </c>
      <c r="K2" s="3">
        <f>[1]!s_fa_dupont_faturnover($A2,K$1)</f>
        <v>0.88190000000000002</v>
      </c>
      <c r="L2" s="3">
        <f>[1]!s_fa_dupont_faturnover($A2,L$1)</f>
        <v>0.59099999999999997</v>
      </c>
      <c r="M2" s="3">
        <f>[1]!s_fa_dupont_faturnover($A2,M$1)</f>
        <v>0.28599999999999998</v>
      </c>
      <c r="N2" s="3">
        <f>[1]!s_fa_dupont_faturnover($A2,N$1)</f>
        <v>1.2426999999999999</v>
      </c>
      <c r="O2" s="3">
        <f>[1]!s_fa_dupont_faturnover($A2,O$1)</f>
        <v>0.88949999999999996</v>
      </c>
      <c r="P2" s="3">
        <f>[1]!s_fa_dupont_faturnover($A2,P$1)</f>
        <v>0.57850000000000001</v>
      </c>
      <c r="Q2" s="3">
        <f>[1]!s_fa_dupont_faturnover($A2,Q$1)</f>
        <v>0.27910000000000001</v>
      </c>
      <c r="R2" s="3">
        <f>[1]!s_fa_dupont_faturnover($A2,R$1)</f>
        <v>1.0766</v>
      </c>
      <c r="S2" s="3">
        <f>[1]!s_fa_dupont_faturnover($A2,S$1)</f>
        <v>0.79059999999999997</v>
      </c>
      <c r="T2" s="3">
        <f>[1]!s_fa_dupont_faturnover($A2,T$1)</f>
        <v>0.52900000000000003</v>
      </c>
      <c r="U2" s="3">
        <f>[1]!s_fa_dupont_faturnover($A2,U$1)</f>
        <v>0.26269999999999999</v>
      </c>
      <c r="V2" s="3">
        <f>[1]!s_fa_dupont_faturnover($A2,V$1)</f>
        <v>0.89610000000000001</v>
      </c>
      <c r="W2" s="3">
        <f>[1]!s_fa_dupont_faturnover($A2,W$1)</f>
        <v>0.63800000000000001</v>
      </c>
      <c r="X2" s="3">
        <f>[1]!s_fa_dupont_faturnover($A2,X$1)</f>
        <v>0.40989999999999999</v>
      </c>
      <c r="Y2" s="3">
        <f>[1]!s_fa_dupont_faturnover($A2,Y$1)</f>
        <v>0.19409999999999999</v>
      </c>
    </row>
    <row r="3" spans="1:25">
      <c r="A3" s="1" t="s">
        <v>1</v>
      </c>
      <c r="B3" s="1" t="s">
        <v>44</v>
      </c>
      <c r="C3" s="3">
        <f ca="1">[1]!s_fa_dupont_faturnover($A3,C$1)</f>
        <v>0.28439999999999999</v>
      </c>
      <c r="D3" s="3">
        <f>[1]!s_fa_dupont_faturnover($A3,D$1)</f>
        <v>0.28439999999999999</v>
      </c>
      <c r="E3" s="3">
        <f>[1]!s_fa_dupont_faturnover($A3,E$1)</f>
        <v>0.1371</v>
      </c>
      <c r="F3" s="3">
        <f>[1]!s_fa_dupont_faturnover($A3,F$1)</f>
        <v>0.51929999999999998</v>
      </c>
      <c r="G3" s="3">
        <f>[1]!s_fa_dupont_faturnover($A3,G$1)</f>
        <v>0.38569999999999999</v>
      </c>
      <c r="H3" s="3">
        <f>[1]!s_fa_dupont_faturnover($A3,H$1)</f>
        <v>0.24909999999999999</v>
      </c>
      <c r="I3" s="3">
        <f>[1]!s_fa_dupont_faturnover($A3,I$1)</f>
        <v>0.11509999999999999</v>
      </c>
      <c r="J3" s="3">
        <f>[1]!s_fa_dupont_faturnover($A3,J$1)</f>
        <v>0.53029999999999999</v>
      </c>
      <c r="K3" s="3">
        <f>[1]!s_fa_dupont_faturnover($A3,K$1)</f>
        <v>0.38850000000000001</v>
      </c>
      <c r="L3" s="3">
        <f>[1]!s_fa_dupont_faturnover($A3,L$1)</f>
        <v>0.25919999999999999</v>
      </c>
      <c r="M3" s="3">
        <f>[1]!s_fa_dupont_faturnover($A3,M$1)</f>
        <v>0.12479999999999999</v>
      </c>
      <c r="N3" s="3">
        <f>[1]!s_fa_dupont_faturnover($A3,N$1)</f>
        <v>0.50570000000000004</v>
      </c>
      <c r="O3" s="3">
        <f>[1]!s_fa_dupont_faturnover($A3,O$1)</f>
        <v>0.37690000000000001</v>
      </c>
      <c r="P3" s="3">
        <f>[1]!s_fa_dupont_faturnover($A3,P$1)</f>
        <v>0.2462</v>
      </c>
      <c r="Q3" s="3">
        <f>[1]!s_fa_dupont_faturnover($A3,Q$1)</f>
        <v>0.1192</v>
      </c>
      <c r="R3" s="3">
        <f>[1]!s_fa_dupont_faturnover($A3,R$1)</f>
        <v>0.48749999999999999</v>
      </c>
      <c r="S3" s="3">
        <f>[1]!s_fa_dupont_faturnover($A3,S$1)</f>
        <v>0.37340000000000001</v>
      </c>
      <c r="T3" s="3">
        <f>[1]!s_fa_dupont_faturnover($A3,T$1)</f>
        <v>0.24399999999999999</v>
      </c>
      <c r="U3" s="3">
        <f>[1]!s_fa_dupont_faturnover($A3,U$1)</f>
        <v>0.1207</v>
      </c>
      <c r="V3" s="3">
        <f>[1]!s_fa_dupont_faturnover($A3,V$1)</f>
        <v>0.3674</v>
      </c>
      <c r="W3" s="3">
        <f>[1]!s_fa_dupont_faturnover($A3,W$1)</f>
        <v>0.2437</v>
      </c>
      <c r="X3" s="3">
        <f>[1]!s_fa_dupont_faturnover($A3,X$1)</f>
        <v>0.14249999999999999</v>
      </c>
      <c r="Y3" s="3">
        <f>[1]!s_fa_dupont_faturnover($A3,Y$1)</f>
        <v>6.8000000000000005E-2</v>
      </c>
    </row>
    <row r="4" spans="1:25">
      <c r="A4" s="1" t="s">
        <v>2</v>
      </c>
      <c r="B4" s="1" t="s">
        <v>45</v>
      </c>
      <c r="C4" s="3">
        <f ca="1">[1]!s_fa_dupont_faturnover($A4,C$1)</f>
        <v>0.63880000000000003</v>
      </c>
      <c r="D4" s="3">
        <f>[1]!s_fa_dupont_faturnover($A4,D$1)</f>
        <v>0.63880000000000003</v>
      </c>
      <c r="E4" s="3">
        <f>[1]!s_fa_dupont_faturnover($A4,E$1)</f>
        <v>0.29099999999999998</v>
      </c>
      <c r="F4" s="3">
        <f>[1]!s_fa_dupont_faturnover($A4,F$1)</f>
        <v>1.0604</v>
      </c>
      <c r="G4" s="3">
        <f>[1]!s_fa_dupont_faturnover($A4,G$1)</f>
        <v>0.77890000000000004</v>
      </c>
      <c r="H4" s="3">
        <f>[1]!s_fa_dupont_faturnover($A4,H$1)</f>
        <v>0.49180000000000001</v>
      </c>
      <c r="I4" s="3">
        <f>[1]!s_fa_dupont_faturnover($A4,I$1)</f>
        <v>0.21609999999999999</v>
      </c>
      <c r="J4" s="3">
        <f>[1]!s_fa_dupont_faturnover($A4,J$1)</f>
        <v>1.0003</v>
      </c>
      <c r="K4" s="3">
        <f>[1]!s_fa_dupont_faturnover($A4,K$1)</f>
        <v>0.7288</v>
      </c>
      <c r="L4" s="3">
        <f>[1]!s_fa_dupont_faturnover($A4,L$1)</f>
        <v>0.46410000000000001</v>
      </c>
      <c r="M4" s="3">
        <f>[1]!s_fa_dupont_faturnover($A4,M$1)</f>
        <v>0.2145</v>
      </c>
      <c r="N4" s="3">
        <f>[1]!s_fa_dupont_faturnover($A4,N$1)</f>
        <v>0.97009999999999996</v>
      </c>
      <c r="O4" s="3">
        <f>[1]!s_fa_dupont_faturnover($A4,O$1)</f>
        <v>0.72050000000000003</v>
      </c>
      <c r="P4" s="3">
        <f>[1]!s_fa_dupont_faturnover($A4,P$1)</f>
        <v>0.46779999999999999</v>
      </c>
      <c r="Q4" s="3">
        <f>[1]!s_fa_dupont_faturnover($A4,Q$1)</f>
        <v>0.20280000000000001</v>
      </c>
      <c r="R4" s="3">
        <f>[1]!s_fa_dupont_faturnover($A4,R$1)</f>
        <v>0.94920000000000004</v>
      </c>
      <c r="S4" s="3">
        <f>[1]!s_fa_dupont_faturnover($A4,S$1)</f>
        <v>0.71650000000000003</v>
      </c>
      <c r="T4" s="3">
        <f>[1]!s_fa_dupont_faturnover($A4,T$1)</f>
        <v>0.47010000000000002</v>
      </c>
      <c r="U4" s="3">
        <f>[1]!s_fa_dupont_faturnover($A4,U$1)</f>
        <v>0.20979999999999999</v>
      </c>
      <c r="V4" s="3">
        <f>[1]!s_fa_dupont_faturnover($A4,V$1)</f>
        <v>0.90890000000000004</v>
      </c>
      <c r="W4" s="3">
        <f>[1]!s_fa_dupont_faturnover($A4,W$1)</f>
        <v>0.66039999999999999</v>
      </c>
      <c r="X4" s="3">
        <f>[1]!s_fa_dupont_faturnover($A4,X$1)</f>
        <v>0.41570000000000001</v>
      </c>
      <c r="Y4" s="3">
        <f>[1]!s_fa_dupont_faturnover($A4,Y$1)</f>
        <v>0.18029999999999999</v>
      </c>
    </row>
    <row r="5" spans="1:25">
      <c r="A5" s="1" t="s">
        <v>3</v>
      </c>
      <c r="B5" s="1" t="s">
        <v>46</v>
      </c>
      <c r="C5" s="3">
        <f ca="1">[1]!s_fa_dupont_faturnover($A5,C$1)</f>
        <v>0.15939999999999999</v>
      </c>
      <c r="D5" s="3">
        <f>[1]!s_fa_dupont_faturnover($A5,D$1)</f>
        <v>0.15939999999999999</v>
      </c>
      <c r="E5" s="3">
        <f>[1]!s_fa_dupont_faturnover($A5,E$1)</f>
        <v>7.8899999999999998E-2</v>
      </c>
      <c r="F5" s="3">
        <f>[1]!s_fa_dupont_faturnover($A5,F$1)</f>
        <v>0.29449999999999998</v>
      </c>
      <c r="G5" s="3">
        <f>[1]!s_fa_dupont_faturnover($A5,G$1)</f>
        <v>0.21129999999999999</v>
      </c>
      <c r="H5" s="3">
        <f>[1]!s_fa_dupont_faturnover($A5,H$1)</f>
        <v>0.1331</v>
      </c>
      <c r="I5" s="3">
        <f>[1]!s_fa_dupont_faturnover($A5,I$1)</f>
        <v>6.2899999999999998E-2</v>
      </c>
      <c r="J5" s="3">
        <f>[1]!s_fa_dupont_faturnover($A5,J$1)</f>
        <v>0.30819999999999997</v>
      </c>
      <c r="K5" s="3">
        <f>[1]!s_fa_dupont_faturnover($A5,K$1)</f>
        <v>0.224</v>
      </c>
      <c r="L5" s="3">
        <f>[1]!s_fa_dupont_faturnover($A5,L$1)</f>
        <v>0.14330000000000001</v>
      </c>
      <c r="M5" s="3">
        <f>[1]!s_fa_dupont_faturnover($A5,M$1)</f>
        <v>7.3400000000000007E-2</v>
      </c>
      <c r="N5" s="3">
        <f>[1]!s_fa_dupont_faturnover($A5,N$1)</f>
        <v>0.29570000000000002</v>
      </c>
      <c r="O5" s="3">
        <f>[1]!s_fa_dupont_faturnover($A5,O$1)</f>
        <v>0.2172</v>
      </c>
      <c r="P5" s="3">
        <f>[1]!s_fa_dupont_faturnover($A5,P$1)</f>
        <v>0.14119999999999999</v>
      </c>
      <c r="Q5" s="3">
        <f>[1]!s_fa_dupont_faturnover($A5,Q$1)</f>
        <v>7.0000000000000007E-2</v>
      </c>
      <c r="R5" s="3">
        <f>[1]!s_fa_dupont_faturnover($A5,R$1)</f>
        <v>0.28949999999999998</v>
      </c>
      <c r="S5" s="3">
        <f>[1]!s_fa_dupont_faturnover($A5,S$1)</f>
        <v>0.2094</v>
      </c>
      <c r="T5" s="3">
        <f>[1]!s_fa_dupont_faturnover($A5,T$1)</f>
        <v>0.1326</v>
      </c>
      <c r="U5" s="3">
        <f>[1]!s_fa_dupont_faturnover($A5,U$1)</f>
        <v>6.6299999999999998E-2</v>
      </c>
      <c r="V5" s="3">
        <f>[1]!s_fa_dupont_faturnover($A5,V$1)</f>
        <v>0.26269999999999999</v>
      </c>
      <c r="W5" s="3">
        <f>[1]!s_fa_dupont_faturnover($A5,W$1)</f>
        <v>0.19139999999999999</v>
      </c>
      <c r="X5" s="3">
        <f>[1]!s_fa_dupont_faturnover($A5,X$1)</f>
        <v>0.122</v>
      </c>
      <c r="Y5" s="3">
        <f>[1]!s_fa_dupont_faturnover($A5,Y$1)</f>
        <v>6.1100000000000002E-2</v>
      </c>
    </row>
    <row r="6" spans="1:25">
      <c r="A6" s="1" t="s">
        <v>4</v>
      </c>
      <c r="B6" s="1" t="s">
        <v>47</v>
      </c>
      <c r="C6" s="3">
        <f ca="1">[1]!s_fa_dupont_faturnover($A6,C$1)</f>
        <v>0.61299999999999999</v>
      </c>
      <c r="D6" s="3">
        <f>[1]!s_fa_dupont_faturnover($A6,D$1)</f>
        <v>0.61299999999999999</v>
      </c>
      <c r="E6" s="3">
        <f>[1]!s_fa_dupont_faturnover($A6,E$1)</f>
        <v>0.26869999999999999</v>
      </c>
      <c r="F6" s="3">
        <f>[1]!s_fa_dupont_faturnover($A6,F$1)</f>
        <v>0.91700000000000004</v>
      </c>
      <c r="G6" s="3">
        <f>[1]!s_fa_dupont_faturnover($A6,G$1)</f>
        <v>0.66959999999999997</v>
      </c>
      <c r="H6" s="3">
        <f>[1]!s_fa_dupont_faturnover($A6,H$1)</f>
        <v>0.42749999999999999</v>
      </c>
      <c r="I6" s="3">
        <f>[1]!s_fa_dupont_faturnover($A6,I$1)</f>
        <v>0.18659999999999999</v>
      </c>
      <c r="J6" s="3">
        <f>[1]!s_fa_dupont_faturnover($A6,J$1)</f>
        <v>0.90239999999999998</v>
      </c>
      <c r="K6" s="3">
        <f>[1]!s_fa_dupont_faturnover($A6,K$1)</f>
        <v>0.65229999999999999</v>
      </c>
      <c r="L6" s="3">
        <f>[1]!s_fa_dupont_faturnover($A6,L$1)</f>
        <v>0.42599999999999999</v>
      </c>
      <c r="M6" s="3">
        <f>[1]!s_fa_dupont_faturnover($A6,M$1)</f>
        <v>0.20030000000000001</v>
      </c>
      <c r="N6" s="3">
        <f>[1]!s_fa_dupont_faturnover($A6,N$1)</f>
        <v>0.93049999999999999</v>
      </c>
      <c r="O6" s="3">
        <f>[1]!s_fa_dupont_faturnover($A6,O$1)</f>
        <v>0.69389999999999996</v>
      </c>
      <c r="P6" s="3">
        <f>[1]!s_fa_dupont_faturnover($A6,P$1)</f>
        <v>0.44540000000000002</v>
      </c>
      <c r="Q6" s="3">
        <f>[1]!s_fa_dupont_faturnover($A6,Q$1)</f>
        <v>0.20430000000000001</v>
      </c>
      <c r="R6" s="3">
        <f>[1]!s_fa_dupont_faturnover($A6,R$1)</f>
        <v>0.83799999999999997</v>
      </c>
      <c r="S6" s="3">
        <f>[1]!s_fa_dupont_faturnover($A6,S$1)</f>
        <v>0.6391</v>
      </c>
      <c r="T6" s="3">
        <f>[1]!s_fa_dupont_faturnover($A6,T$1)</f>
        <v>0.41499999999999998</v>
      </c>
      <c r="U6" s="3">
        <f>[1]!s_fa_dupont_faturnover($A6,U$1)</f>
        <v>0.20219999999999999</v>
      </c>
      <c r="V6" s="3">
        <f>[1]!s_fa_dupont_faturnover($A6,V$1)</f>
        <v>0.63700000000000001</v>
      </c>
      <c r="W6" s="3">
        <f>[1]!s_fa_dupont_faturnover($A6,W$1)</f>
        <v>0.45169999999999999</v>
      </c>
      <c r="X6" s="3">
        <f>[1]!s_fa_dupont_faturnover($A6,X$1)</f>
        <v>0.28439999999999999</v>
      </c>
      <c r="Y6" s="3">
        <f>[1]!s_fa_dupont_faturnover($A6,Y$1)</f>
        <v>0.1265</v>
      </c>
    </row>
    <row r="7" spans="1:25">
      <c r="A7" s="1" t="s">
        <v>5</v>
      </c>
      <c r="B7" s="1" t="s">
        <v>48</v>
      </c>
      <c r="C7" s="3">
        <f ca="1">[1]!s_fa_dupont_faturnover($A7,C$1)</f>
        <v>0.36940000000000001</v>
      </c>
      <c r="D7" s="3">
        <f>[1]!s_fa_dupont_faturnover($A7,D$1)</f>
        <v>0.36940000000000001</v>
      </c>
      <c r="E7" s="3">
        <f>[1]!s_fa_dupont_faturnover($A7,E$1)</f>
        <v>0.1729</v>
      </c>
      <c r="F7" s="3">
        <f>[1]!s_fa_dupont_faturnover($A7,F$1)</f>
        <v>0.6482</v>
      </c>
      <c r="G7" s="3">
        <f>[1]!s_fa_dupont_faturnover($A7,G$1)</f>
        <v>0.47649999999999998</v>
      </c>
      <c r="H7" s="3">
        <f>[1]!s_fa_dupont_faturnover($A7,H$1)</f>
        <v>0.30809999999999998</v>
      </c>
      <c r="I7" s="3">
        <f>[1]!s_fa_dupont_faturnover($A7,I$1)</f>
        <v>0.1308</v>
      </c>
      <c r="J7" s="3">
        <f>[1]!s_fa_dupont_faturnover($A7,J$1)</f>
        <v>0.66100000000000003</v>
      </c>
      <c r="K7" s="3">
        <f>[1]!s_fa_dupont_faturnover($A7,K$1)</f>
        <v>0.4955</v>
      </c>
      <c r="L7" s="3">
        <f>[1]!s_fa_dupont_faturnover($A7,L$1)</f>
        <v>0.31969999999999998</v>
      </c>
      <c r="M7" s="3">
        <f>[1]!s_fa_dupont_faturnover($A7,M$1)</f>
        <v>0.15229999999999999</v>
      </c>
      <c r="N7" s="3">
        <f>[1]!s_fa_dupont_faturnover($A7,N$1)</f>
        <v>0.68130000000000002</v>
      </c>
      <c r="O7" s="3">
        <f>[1]!s_fa_dupont_faturnover($A7,O$1)</f>
        <v>0.52139999999999997</v>
      </c>
      <c r="P7" s="3">
        <f>[1]!s_fa_dupont_faturnover($A7,P$1)</f>
        <v>0.34379999999999999</v>
      </c>
      <c r="Q7" s="3">
        <f>[1]!s_fa_dupont_faturnover($A7,Q$1)</f>
        <v>0.15260000000000001</v>
      </c>
      <c r="R7" s="3">
        <f>[1]!s_fa_dupont_faturnover($A7,R$1)</f>
        <v>0.65549999999999997</v>
      </c>
      <c r="S7" s="3">
        <f>[1]!s_fa_dupont_faturnover($A7,S$1)</f>
        <v>0.48110000000000003</v>
      </c>
      <c r="T7" s="3">
        <f>[1]!s_fa_dupont_faturnover($A7,T$1)</f>
        <v>0.3145</v>
      </c>
      <c r="U7" s="3">
        <f>[1]!s_fa_dupont_faturnover($A7,U$1)</f>
        <v>0.15090000000000001</v>
      </c>
      <c r="V7" s="3">
        <f>[1]!s_fa_dupont_faturnover($A7,V$1)</f>
        <v>0.56889999999999996</v>
      </c>
      <c r="W7" s="3">
        <f>[1]!s_fa_dupont_faturnover($A7,W$1)</f>
        <v>0.39650000000000002</v>
      </c>
      <c r="X7" s="3">
        <f>[1]!s_fa_dupont_faturnover($A7,X$1)</f>
        <v>0.2626</v>
      </c>
      <c r="Y7" s="3">
        <f>[1]!s_fa_dupont_faturnover($A7,Y$1)</f>
        <v>0.1171</v>
      </c>
    </row>
    <row r="8" spans="1:25">
      <c r="A8" s="1" t="s">
        <v>6</v>
      </c>
      <c r="B8" s="1" t="s">
        <v>49</v>
      </c>
      <c r="C8" s="3">
        <f ca="1">[1]!s_fa_dupont_faturnover($A8,C$1)</f>
        <v>0.33610000000000001</v>
      </c>
      <c r="D8" s="3">
        <f>[1]!s_fa_dupont_faturnover($A8,D$1)</f>
        <v>0.33610000000000001</v>
      </c>
      <c r="E8" s="3">
        <f>[1]!s_fa_dupont_faturnover($A8,E$1)</f>
        <v>0.15329999999999999</v>
      </c>
      <c r="F8" s="3">
        <f>[1]!s_fa_dupont_faturnover($A8,F$1)</f>
        <v>0.67779999999999996</v>
      </c>
      <c r="G8" s="3">
        <f>[1]!s_fa_dupont_faturnover($A8,G$1)</f>
        <v>0.46010000000000001</v>
      </c>
      <c r="H8" s="3">
        <f>[1]!s_fa_dupont_faturnover($A8,H$1)</f>
        <v>0.29289999999999999</v>
      </c>
      <c r="I8" s="3">
        <f>[1]!s_fa_dupont_faturnover($A8,I$1)</f>
        <v>0.1128</v>
      </c>
      <c r="J8" s="3">
        <f>[1]!s_fa_dupont_faturnover($A8,J$1)</f>
        <v>0.67879999999999996</v>
      </c>
      <c r="K8" s="3">
        <f>[1]!s_fa_dupont_faturnover($A8,K$1)</f>
        <v>0.46779999999999999</v>
      </c>
      <c r="L8" s="3">
        <f>[1]!s_fa_dupont_faturnover($A8,L$1)</f>
        <v>0.31080000000000002</v>
      </c>
      <c r="M8" s="3">
        <f>[1]!s_fa_dupont_faturnover($A8,M$1)</f>
        <v>0.1384</v>
      </c>
      <c r="N8" s="3">
        <f>[1]!s_fa_dupont_faturnover($A8,N$1)</f>
        <v>0.66610000000000003</v>
      </c>
      <c r="O8" s="3">
        <f>[1]!s_fa_dupont_faturnover($A8,O$1)</f>
        <v>0.45750000000000002</v>
      </c>
      <c r="P8" s="3">
        <f>[1]!s_fa_dupont_faturnover($A8,P$1)</f>
        <v>0.30649999999999999</v>
      </c>
      <c r="Q8" s="3">
        <f>[1]!s_fa_dupont_faturnover($A8,Q$1)</f>
        <v>0.14180000000000001</v>
      </c>
      <c r="R8" s="3">
        <f>[1]!s_fa_dupont_faturnover($A8,R$1)</f>
        <v>0.6845</v>
      </c>
      <c r="S8" s="3">
        <f>[1]!s_fa_dupont_faturnover($A8,S$1)</f>
        <v>0.47239999999999999</v>
      </c>
      <c r="T8" s="3">
        <f>[1]!s_fa_dupont_faturnover($A8,T$1)</f>
        <v>0.31109999999999999</v>
      </c>
      <c r="U8" s="3">
        <f>[1]!s_fa_dupont_faturnover($A8,U$1)</f>
        <v>0.1386</v>
      </c>
      <c r="V8" s="3">
        <f>[1]!s_fa_dupont_faturnover($A8,V$1)</f>
        <v>0.7077</v>
      </c>
      <c r="W8" s="3">
        <f>[1]!s_fa_dupont_faturnover($A8,W$1)</f>
        <v>0.48830000000000001</v>
      </c>
      <c r="X8" s="3">
        <f>[1]!s_fa_dupont_faturnover($A8,X$1)</f>
        <v>0.32979999999999998</v>
      </c>
      <c r="Y8" s="3">
        <f>[1]!s_fa_dupont_faturnover($A8,Y$1)</f>
        <v>0.1525</v>
      </c>
    </row>
    <row r="9" spans="1:25">
      <c r="A9" s="1" t="s">
        <v>7</v>
      </c>
      <c r="B9" s="1" t="s">
        <v>50</v>
      </c>
      <c r="C9" s="3">
        <f ca="1">[1]!s_fa_dupont_faturnover($A9,C$1)</f>
        <v>0.34639999999999999</v>
      </c>
      <c r="D9" s="3">
        <f>[1]!s_fa_dupont_faturnover($A9,D$1)</f>
        <v>0.34639999999999999</v>
      </c>
      <c r="E9" s="3">
        <f>[1]!s_fa_dupont_faturnover($A9,E$1)</f>
        <v>0.1399</v>
      </c>
      <c r="F9" s="3">
        <f>[1]!s_fa_dupont_faturnover($A9,F$1)</f>
        <v>0.71740000000000004</v>
      </c>
      <c r="G9" s="3">
        <f>[1]!s_fa_dupont_faturnover($A9,G$1)</f>
        <v>0.49909999999999999</v>
      </c>
      <c r="H9" s="3">
        <f>[1]!s_fa_dupont_faturnover($A9,H$1)</f>
        <v>0.30220000000000002</v>
      </c>
      <c r="I9" s="3">
        <f>[1]!s_fa_dupont_faturnover($A9,I$1)</f>
        <v>9.69E-2</v>
      </c>
      <c r="J9" s="3">
        <f>[1]!s_fa_dupont_faturnover($A9,J$1)</f>
        <v>0.71889999999999998</v>
      </c>
      <c r="K9" s="3">
        <f>[1]!s_fa_dupont_faturnover($A9,K$1)</f>
        <v>0.51129999999999998</v>
      </c>
      <c r="L9" s="3">
        <f>[1]!s_fa_dupont_faturnover($A9,L$1)</f>
        <v>0.3256</v>
      </c>
      <c r="M9" s="3">
        <f>[1]!s_fa_dupont_faturnover($A9,M$1)</f>
        <v>0.13420000000000001</v>
      </c>
      <c r="N9" s="3">
        <f>[1]!s_fa_dupont_faturnover($A9,N$1)</f>
        <v>0.68510000000000004</v>
      </c>
      <c r="O9" s="3">
        <f>[1]!s_fa_dupont_faturnover($A9,O$1)</f>
        <v>0.48849999999999999</v>
      </c>
      <c r="P9" s="3">
        <f>[1]!s_fa_dupont_faturnover($A9,P$1)</f>
        <v>0.30649999999999999</v>
      </c>
      <c r="Q9" s="3">
        <f>[1]!s_fa_dupont_faturnover($A9,Q$1)</f>
        <v>0.1217</v>
      </c>
      <c r="R9" s="3">
        <f>[1]!s_fa_dupont_faturnover($A9,R$1)</f>
        <v>0.56399999999999995</v>
      </c>
      <c r="S9" s="3">
        <f>[1]!s_fa_dupont_faturnover($A9,S$1)</f>
        <v>0.38619999999999999</v>
      </c>
      <c r="T9" s="3">
        <f>[1]!s_fa_dupont_faturnover($A9,T$1)</f>
        <v>0.24149999999999999</v>
      </c>
      <c r="U9" s="3">
        <f>[1]!s_fa_dupont_faturnover($A9,U$1)</f>
        <v>9.8000000000000004E-2</v>
      </c>
      <c r="V9" s="3">
        <f>[1]!s_fa_dupont_faturnover($A9,V$1)</f>
        <v>0.44500000000000001</v>
      </c>
      <c r="W9" s="3">
        <f>[1]!s_fa_dupont_faturnover($A9,W$1)</f>
        <v>0.30790000000000001</v>
      </c>
      <c r="X9" s="3">
        <f>[1]!s_fa_dupont_faturnover($A9,X$1)</f>
        <v>0.19259999999999999</v>
      </c>
      <c r="Y9" s="3">
        <f>[1]!s_fa_dupont_faturnover($A9,Y$1)</f>
        <v>7.8100000000000003E-2</v>
      </c>
    </row>
    <row r="10" spans="1:25">
      <c r="A10" s="1" t="s">
        <v>8</v>
      </c>
      <c r="B10" s="1" t="s">
        <v>51</v>
      </c>
      <c r="C10" s="3">
        <f ca="1">[1]!s_fa_dupont_faturnover($A10,C$1)</f>
        <v>0.35149999999999998</v>
      </c>
      <c r="D10" s="3">
        <f>[1]!s_fa_dupont_faturnover($A10,D$1)</f>
        <v>0.35149999999999998</v>
      </c>
      <c r="E10" s="3">
        <f>[1]!s_fa_dupont_faturnover($A10,E$1)</f>
        <v>0.1694</v>
      </c>
      <c r="F10" s="3">
        <f>[1]!s_fa_dupont_faturnover($A10,F$1)</f>
        <v>0.64129999999999998</v>
      </c>
      <c r="G10" s="3">
        <f>[1]!s_fa_dupont_faturnover($A10,G$1)</f>
        <v>0.43880000000000002</v>
      </c>
      <c r="H10" s="3">
        <f>[1]!s_fa_dupont_faturnover($A10,H$1)</f>
        <v>0.26550000000000001</v>
      </c>
      <c r="I10" s="3">
        <f>[1]!s_fa_dupont_faturnover($A10,I$1)</f>
        <v>0.1128</v>
      </c>
      <c r="J10" s="3">
        <f>[1]!s_fa_dupont_faturnover($A10,J$1)</f>
        <v>0.62690000000000001</v>
      </c>
      <c r="K10" s="3">
        <f>[1]!s_fa_dupont_faturnover($A10,K$1)</f>
        <v>0.46410000000000001</v>
      </c>
      <c r="L10" s="3">
        <f>[1]!s_fa_dupont_faturnover($A10,L$1)</f>
        <v>0.29749999999999999</v>
      </c>
      <c r="M10" s="3">
        <f>[1]!s_fa_dupont_faturnover($A10,M$1)</f>
        <v>0.1431</v>
      </c>
      <c r="N10" s="3">
        <f>[1]!s_fa_dupont_faturnover($A10,N$1)</f>
        <v>0.65549999999999997</v>
      </c>
      <c r="O10" s="3">
        <f>[1]!s_fa_dupont_faturnover($A10,O$1)</f>
        <v>0.48659999999999998</v>
      </c>
      <c r="P10" s="3">
        <f>[1]!s_fa_dupont_faturnover($A10,P$1)</f>
        <v>0.31690000000000002</v>
      </c>
      <c r="Q10" s="3">
        <f>[1]!s_fa_dupont_faturnover($A10,Q$1)</f>
        <v>0.14630000000000001</v>
      </c>
      <c r="R10" s="3">
        <f>[1]!s_fa_dupont_faturnover($A10,R$1)</f>
        <v>0.63619999999999999</v>
      </c>
      <c r="S10" s="3">
        <f>[1]!s_fa_dupont_faturnover($A10,S$1)</f>
        <v>0.46429999999999999</v>
      </c>
      <c r="T10" s="3">
        <f>[1]!s_fa_dupont_faturnover($A10,T$1)</f>
        <v>0.2964</v>
      </c>
      <c r="U10" s="3">
        <f>[1]!s_fa_dupont_faturnover($A10,U$1)</f>
        <v>0.13739999999999999</v>
      </c>
      <c r="V10" s="3">
        <f>[1]!s_fa_dupont_faturnover($A10,V$1)</f>
        <v>0.54310000000000003</v>
      </c>
      <c r="W10" s="3">
        <f>[1]!s_fa_dupont_faturnover($A10,W$1)</f>
        <v>0.37809999999999999</v>
      </c>
      <c r="X10" s="3">
        <f>[1]!s_fa_dupont_faturnover($A10,X$1)</f>
        <v>0.2457</v>
      </c>
      <c r="Y10" s="3">
        <f>[1]!s_fa_dupont_faturnover($A10,Y$1)</f>
        <v>0.1179</v>
      </c>
    </row>
    <row r="11" spans="1:25">
      <c r="A11" s="1" t="s">
        <v>9</v>
      </c>
      <c r="B11" s="1" t="s">
        <v>52</v>
      </c>
      <c r="C11" s="3">
        <f ca="1">[1]!s_fa_dupont_faturnover($A11,C$1)</f>
        <v>0.28799999999999998</v>
      </c>
      <c r="D11" s="3">
        <f>[1]!s_fa_dupont_faturnover($A11,D$1)</f>
        <v>0.28799999999999998</v>
      </c>
      <c r="E11" s="3">
        <f>[1]!s_fa_dupont_faturnover($A11,E$1)</f>
        <v>0.12859999999999999</v>
      </c>
      <c r="F11" s="3">
        <f>[1]!s_fa_dupont_faturnover($A11,F$1)</f>
        <v>0.54569999999999996</v>
      </c>
      <c r="G11" s="3">
        <f>[1]!s_fa_dupont_faturnover($A11,G$1)</f>
        <v>0.38240000000000002</v>
      </c>
      <c r="H11" s="3">
        <f>[1]!s_fa_dupont_faturnover($A11,H$1)</f>
        <v>0.24379999999999999</v>
      </c>
      <c r="I11" s="3">
        <f>[1]!s_fa_dupont_faturnover($A11,I$1)</f>
        <v>9.6799999999999997E-2</v>
      </c>
      <c r="J11" s="3">
        <f>[1]!s_fa_dupont_faturnover($A11,J$1)</f>
        <v>0.54949999999999999</v>
      </c>
      <c r="K11" s="3">
        <f>[1]!s_fa_dupont_faturnover($A11,K$1)</f>
        <v>0.37959999999999999</v>
      </c>
      <c r="L11" s="3">
        <f>[1]!s_fa_dupont_faturnover($A11,L$1)</f>
        <v>0.26519999999999999</v>
      </c>
      <c r="M11" s="3">
        <f>[1]!s_fa_dupont_faturnover($A11,M$1)</f>
        <v>0.12239999999999999</v>
      </c>
      <c r="N11" s="3">
        <f>[1]!s_fa_dupont_faturnover($A11,N$1)</f>
        <v>0.55579999999999996</v>
      </c>
      <c r="O11" s="3">
        <f>[1]!s_fa_dupont_faturnover($A11,O$1)</f>
        <v>0.38719999999999999</v>
      </c>
      <c r="P11" s="3">
        <f>[1]!s_fa_dupont_faturnover($A11,P$1)</f>
        <v>0.25950000000000001</v>
      </c>
      <c r="Q11" s="3">
        <f>[1]!s_fa_dupont_faturnover($A11,Q$1)</f>
        <v>0.1116</v>
      </c>
      <c r="R11" s="3">
        <f>[1]!s_fa_dupont_faturnover($A11,R$1)</f>
        <v>0.52659999999999996</v>
      </c>
      <c r="S11" s="3">
        <f>[1]!s_fa_dupont_faturnover($A11,S$1)</f>
        <v>0.36930000000000002</v>
      </c>
      <c r="T11" s="3">
        <f>[1]!s_fa_dupont_faturnover($A11,T$1)</f>
        <v>0.2412</v>
      </c>
      <c r="U11" s="3">
        <f>[1]!s_fa_dupont_faturnover($A11,U$1)</f>
        <v>0.1046</v>
      </c>
      <c r="V11" s="3">
        <f>[1]!s_fa_dupont_faturnover($A11,V$1)</f>
        <v>0.36909999999999998</v>
      </c>
      <c r="W11" s="3">
        <f>[1]!s_fa_dupont_faturnover($A11,W$1)</f>
        <v>0.25600000000000001</v>
      </c>
      <c r="X11" s="3">
        <f>[1]!s_fa_dupont_faturnover($A11,X$1)</f>
        <v>0.16839999999999999</v>
      </c>
      <c r="Y11" s="3">
        <f>[1]!s_fa_dupont_faturnover($A11,Y$1)</f>
        <v>7.5300000000000006E-2</v>
      </c>
    </row>
    <row r="12" spans="1:25">
      <c r="A12" s="1" t="s">
        <v>10</v>
      </c>
      <c r="B12" s="1" t="s">
        <v>53</v>
      </c>
      <c r="C12" s="3">
        <f ca="1">[1]!s_fa_dupont_faturnover($A12,C$1)</f>
        <v>0.24729999999999999</v>
      </c>
      <c r="D12" s="3">
        <f>[1]!s_fa_dupont_faturnover($A12,D$1)</f>
        <v>0.24729999999999999</v>
      </c>
      <c r="E12" s="3">
        <f>[1]!s_fa_dupont_faturnover($A12,E$1)</f>
        <v>0.10780000000000001</v>
      </c>
      <c r="F12" s="3">
        <f>[1]!s_fa_dupont_faturnover($A12,F$1)</f>
        <v>0.48270000000000002</v>
      </c>
      <c r="G12" s="3">
        <f>[1]!s_fa_dupont_faturnover($A12,G$1)</f>
        <v>0.33050000000000002</v>
      </c>
      <c r="H12" s="3">
        <f>[1]!s_fa_dupont_faturnover($A12,H$1)</f>
        <v>0.20749999999999999</v>
      </c>
      <c r="I12" s="3">
        <f>[1]!s_fa_dupont_faturnover($A12,I$1)</f>
        <v>7.8899999999999998E-2</v>
      </c>
      <c r="J12" s="3">
        <f>[1]!s_fa_dupont_faturnover($A12,J$1)</f>
        <v>0.47370000000000001</v>
      </c>
      <c r="K12" s="3">
        <f>[1]!s_fa_dupont_faturnover($A12,K$1)</f>
        <v>0.35759999999999997</v>
      </c>
      <c r="L12" s="3">
        <f>[1]!s_fa_dupont_faturnover($A12,L$1)</f>
        <v>0.23400000000000001</v>
      </c>
      <c r="M12" s="3">
        <f>[1]!s_fa_dupont_faturnover($A12,M$1)</f>
        <v>0.1012</v>
      </c>
      <c r="N12" s="3">
        <f>[1]!s_fa_dupont_faturnover($A12,N$1)</f>
        <v>0.50929999999999997</v>
      </c>
      <c r="O12" s="3">
        <f>[1]!s_fa_dupont_faturnover($A12,O$1)</f>
        <v>0.35539999999999999</v>
      </c>
      <c r="P12" s="3">
        <f>[1]!s_fa_dupont_faturnover($A12,P$1)</f>
        <v>0.23960000000000001</v>
      </c>
      <c r="Q12" s="3">
        <f>[1]!s_fa_dupont_faturnover($A12,Q$1)</f>
        <v>9.7299999999999998E-2</v>
      </c>
      <c r="R12" s="3">
        <f>[1]!s_fa_dupont_faturnover($A12,R$1)</f>
        <v>0.50980000000000003</v>
      </c>
      <c r="S12" s="3">
        <f>[1]!s_fa_dupont_faturnover($A12,S$1)</f>
        <v>0.35420000000000001</v>
      </c>
      <c r="T12" s="3">
        <f>[1]!s_fa_dupont_faturnover($A12,T$1)</f>
        <v>0.22839999999999999</v>
      </c>
      <c r="U12" s="3">
        <f>[1]!s_fa_dupont_faturnover($A12,U$1)</f>
        <v>9.11E-2</v>
      </c>
      <c r="V12" s="3">
        <f>[1]!s_fa_dupont_faturnover($A12,V$1)</f>
        <v>0.51800000000000002</v>
      </c>
      <c r="W12" s="3">
        <f>[1]!s_fa_dupont_faturnover($A12,W$1)</f>
        <v>0.35580000000000001</v>
      </c>
      <c r="X12" s="3">
        <f>[1]!s_fa_dupont_faturnover($A12,X$1)</f>
        <v>0.2417</v>
      </c>
      <c r="Y12" s="3">
        <f>[1]!s_fa_dupont_faturnover($A12,Y$1)</f>
        <v>0.1067</v>
      </c>
    </row>
    <row r="13" spans="1:25">
      <c r="A13" s="1" t="s">
        <v>11</v>
      </c>
      <c r="B13" s="1" t="s">
        <v>54</v>
      </c>
      <c r="C13" s="3">
        <f ca="1">[1]!s_fa_dupont_faturnover($A13,C$1)</f>
        <v>0.18990000000000001</v>
      </c>
      <c r="D13" s="3">
        <f>[1]!s_fa_dupont_faturnover($A13,D$1)</f>
        <v>0.18990000000000001</v>
      </c>
      <c r="E13" s="3">
        <f>[1]!s_fa_dupont_faturnover($A13,E$1)</f>
        <v>8.2400000000000001E-2</v>
      </c>
      <c r="F13" s="3">
        <f>[1]!s_fa_dupont_faturnover($A13,F$1)</f>
        <v>0.41560000000000002</v>
      </c>
      <c r="G13" s="3">
        <f>[1]!s_fa_dupont_faturnover($A13,G$1)</f>
        <v>0.27339999999999998</v>
      </c>
      <c r="H13" s="3">
        <f>[1]!s_fa_dupont_faturnover($A13,H$1)</f>
        <v>0.17630000000000001</v>
      </c>
      <c r="I13" s="3">
        <f>[1]!s_fa_dupont_faturnover($A13,I$1)</f>
        <v>6.6100000000000006E-2</v>
      </c>
      <c r="J13" s="3">
        <f>[1]!s_fa_dupont_faturnover($A13,J$1)</f>
        <v>0.4229</v>
      </c>
      <c r="K13" s="3">
        <f>[1]!s_fa_dupont_faturnover($A13,K$1)</f>
        <v>0.27939999999999998</v>
      </c>
      <c r="L13" s="3">
        <f>[1]!s_fa_dupont_faturnover($A13,L$1)</f>
        <v>0.19819999999999999</v>
      </c>
      <c r="M13" s="3">
        <f>[1]!s_fa_dupont_faturnover($A13,M$1)</f>
        <v>8.1199999999999994E-2</v>
      </c>
      <c r="N13" s="3">
        <f>[1]!s_fa_dupont_faturnover($A13,N$1)</f>
        <v>0.45</v>
      </c>
      <c r="O13" s="3">
        <f>[1]!s_fa_dupont_faturnover($A13,O$1)</f>
        <v>0.28639999999999999</v>
      </c>
      <c r="P13" s="3">
        <f>[1]!s_fa_dupont_faturnover($A13,P$1)</f>
        <v>0.18909999999999999</v>
      </c>
      <c r="Q13" s="3">
        <f>[1]!s_fa_dupont_faturnover($A13,Q$1)</f>
        <v>7.0499999999999993E-2</v>
      </c>
      <c r="R13" s="3">
        <f>[1]!s_fa_dupont_faturnover($A13,R$1)</f>
        <v>0.42959999999999998</v>
      </c>
      <c r="S13" s="3">
        <f>[1]!s_fa_dupont_faturnover($A13,S$1)</f>
        <v>0.25580000000000003</v>
      </c>
      <c r="T13" s="3">
        <f>[1]!s_fa_dupont_faturnover($A13,T$1)</f>
        <v>0.17349999999999999</v>
      </c>
      <c r="U13" s="3">
        <f>[1]!s_fa_dupont_faturnover($A13,U$1)</f>
        <v>7.6999999999999999E-2</v>
      </c>
      <c r="V13" s="3">
        <f>[1]!s_fa_dupont_faturnover($A13,V$1)</f>
        <v>0.43330000000000002</v>
      </c>
      <c r="W13" s="3">
        <f>[1]!s_fa_dupont_faturnover($A13,W$1)</f>
        <v>0.27350000000000002</v>
      </c>
      <c r="X13" s="3">
        <f>[1]!s_fa_dupont_faturnover($A13,X$1)</f>
        <v>0.17810000000000001</v>
      </c>
      <c r="Y13" s="3">
        <f>[1]!s_fa_dupont_faturnover($A13,Y$1)</f>
        <v>7.4399999999999994E-2</v>
      </c>
    </row>
    <row r="14" spans="1:25">
      <c r="A14" s="1" t="s">
        <v>12</v>
      </c>
      <c r="B14" s="1" t="s">
        <v>55</v>
      </c>
      <c r="C14" s="3">
        <f ca="1">[1]!s_fa_dupont_faturnover($A14,C$1)</f>
        <v>0.42780000000000001</v>
      </c>
      <c r="D14" s="3">
        <f>[1]!s_fa_dupont_faturnover($A14,D$1)</f>
        <v>0.42780000000000001</v>
      </c>
      <c r="E14" s="3">
        <f>[1]!s_fa_dupont_faturnover($A14,E$1)</f>
        <v>0.21709999999999999</v>
      </c>
      <c r="F14" s="3">
        <f>[1]!s_fa_dupont_faturnover($A14,F$1)</f>
        <v>0.8085</v>
      </c>
      <c r="G14" s="3">
        <f>[1]!s_fa_dupont_faturnover($A14,G$1)</f>
        <v>0.57410000000000005</v>
      </c>
      <c r="H14" s="3">
        <f>[1]!s_fa_dupont_faturnover($A14,H$1)</f>
        <v>0.34870000000000001</v>
      </c>
      <c r="I14" s="3">
        <f>[1]!s_fa_dupont_faturnover($A14,I$1)</f>
        <v>0.1391</v>
      </c>
      <c r="J14" s="3">
        <f>[1]!s_fa_dupont_faturnover($A14,J$1)</f>
        <v>0.85</v>
      </c>
      <c r="K14" s="3">
        <f>[1]!s_fa_dupont_faturnover($A14,K$1)</f>
        <v>0.60209999999999997</v>
      </c>
      <c r="L14" s="3">
        <f>[1]!s_fa_dupont_faturnover($A14,L$1)</f>
        <v>0.40079999999999999</v>
      </c>
      <c r="M14" s="3">
        <f>[1]!s_fa_dupont_faturnover($A14,M$1)</f>
        <v>0.20150000000000001</v>
      </c>
      <c r="N14" s="3">
        <f>[1]!s_fa_dupont_faturnover($A14,N$1)</f>
        <v>0.90429999999999999</v>
      </c>
      <c r="O14" s="3">
        <f>[1]!s_fa_dupont_faturnover($A14,O$1)</f>
        <v>0.67610000000000003</v>
      </c>
      <c r="P14" s="3">
        <f>[1]!s_fa_dupont_faturnover($A14,P$1)</f>
        <v>0.46350000000000002</v>
      </c>
      <c r="Q14" s="3">
        <f>[1]!s_fa_dupont_faturnover($A14,Q$1)</f>
        <v>0.23019999999999999</v>
      </c>
      <c r="R14" s="3">
        <f>[1]!s_fa_dupont_faturnover($A14,R$1)</f>
        <v>1.0589999999999999</v>
      </c>
      <c r="S14" s="3">
        <f>[1]!s_fa_dupont_faturnover($A14,S$1)</f>
        <v>0.76390000000000002</v>
      </c>
      <c r="T14" s="3">
        <f>[1]!s_fa_dupont_faturnover($A14,T$1)</f>
        <v>0.505</v>
      </c>
      <c r="U14" s="3">
        <f>[1]!s_fa_dupont_faturnover($A14,U$1)</f>
        <v>0.24859999999999999</v>
      </c>
      <c r="V14" s="3">
        <f>[1]!s_fa_dupont_faturnover($A14,V$1)</f>
        <v>1.0659000000000001</v>
      </c>
      <c r="W14" s="3">
        <f>[1]!s_fa_dupont_faturnover($A14,W$1)</f>
        <v>0.76629999999999998</v>
      </c>
      <c r="X14" s="3">
        <f>[1]!s_fa_dupont_faturnover($A14,X$1)</f>
        <v>0.51280000000000003</v>
      </c>
      <c r="Y14" s="3">
        <f>[1]!s_fa_dupont_faturnover($A14,Y$1)</f>
        <v>0.25390000000000001</v>
      </c>
    </row>
    <row r="15" spans="1:25">
      <c r="A15" s="1" t="s">
        <v>13</v>
      </c>
      <c r="B15" s="1" t="s">
        <v>56</v>
      </c>
      <c r="C15" s="3">
        <f ca="1">[1]!s_fa_dupont_faturnover($A15,C$1)</f>
        <v>0.56059999999999999</v>
      </c>
      <c r="D15" s="3">
        <f>[1]!s_fa_dupont_faturnover($A15,D$1)</f>
        <v>0.56059999999999999</v>
      </c>
      <c r="E15" s="3">
        <f>[1]!s_fa_dupont_faturnover($A15,E$1)</f>
        <v>0.2525</v>
      </c>
      <c r="F15" s="3">
        <f>[1]!s_fa_dupont_faturnover($A15,F$1)</f>
        <v>0.99609999999999999</v>
      </c>
      <c r="G15" s="3">
        <f>[1]!s_fa_dupont_faturnover($A15,G$1)</f>
        <v>0.70989999999999998</v>
      </c>
      <c r="H15" s="3">
        <f>[1]!s_fa_dupont_faturnover($A15,H$1)</f>
        <v>0.4546</v>
      </c>
      <c r="I15" s="3">
        <f>[1]!s_fa_dupont_faturnover($A15,I$1)</f>
        <v>0.21049999999999999</v>
      </c>
      <c r="J15" s="3">
        <f>[1]!s_fa_dupont_faturnover($A15,J$1)</f>
        <v>1.0556000000000001</v>
      </c>
      <c r="K15" s="3">
        <f>[1]!s_fa_dupont_faturnover($A15,K$1)</f>
        <v>0.80710000000000004</v>
      </c>
      <c r="L15" s="3">
        <f>[1]!s_fa_dupont_faturnover($A15,L$1)</f>
        <v>0.48349999999999999</v>
      </c>
      <c r="M15" s="3">
        <f>[1]!s_fa_dupont_faturnover($A15,M$1)</f>
        <v>0.2409</v>
      </c>
      <c r="N15" s="3">
        <f>[1]!s_fa_dupont_faturnover($A15,N$1)</f>
        <v>1.0152000000000001</v>
      </c>
      <c r="O15" s="3">
        <f>[1]!s_fa_dupont_faturnover($A15,O$1)</f>
        <v>0.75970000000000004</v>
      </c>
      <c r="P15" s="3">
        <f>[1]!s_fa_dupont_faturnover($A15,P$1)</f>
        <v>0.51690000000000003</v>
      </c>
      <c r="Q15" s="3">
        <f>[1]!s_fa_dupont_faturnover($A15,Q$1)</f>
        <v>0.25659999999999999</v>
      </c>
      <c r="R15" s="3">
        <f>[1]!s_fa_dupont_faturnover($A15,R$1)</f>
        <v>1.1217999999999999</v>
      </c>
      <c r="S15" s="3">
        <f>[1]!s_fa_dupont_faturnover($A15,S$1)</f>
        <v>0.79169999999999996</v>
      </c>
      <c r="T15" s="3">
        <f>[1]!s_fa_dupont_faturnover($A15,T$1)</f>
        <v>0.52749999999999997</v>
      </c>
      <c r="U15" s="3">
        <f>[1]!s_fa_dupont_faturnover($A15,U$1)</f>
        <v>0.25890000000000002</v>
      </c>
      <c r="V15" s="3">
        <f>[1]!s_fa_dupont_faturnover($A15,V$1)</f>
        <v>0.98540000000000005</v>
      </c>
      <c r="W15" s="3">
        <f>[1]!s_fa_dupont_faturnover($A15,W$1)</f>
        <v>0.70730000000000004</v>
      </c>
      <c r="X15" s="3">
        <f>[1]!s_fa_dupont_faturnover($A15,X$1)</f>
        <v>0.50370000000000004</v>
      </c>
      <c r="Y15" s="3">
        <f>[1]!s_fa_dupont_faturnover($A15,Y$1)</f>
        <v>0.27079999999999999</v>
      </c>
    </row>
    <row r="16" spans="1:25">
      <c r="A16" s="1" t="s">
        <v>14</v>
      </c>
      <c r="B16" s="1" t="s">
        <v>57</v>
      </c>
      <c r="C16" s="3">
        <f ca="1">[1]!s_fa_dupont_faturnover($A16,C$1)</f>
        <v>0.28760000000000002</v>
      </c>
      <c r="D16" s="3">
        <f>[1]!s_fa_dupont_faturnover($A16,D$1)</f>
        <v>0.28760000000000002</v>
      </c>
      <c r="E16" s="3">
        <f>[1]!s_fa_dupont_faturnover($A16,E$1)</f>
        <v>0.13389999999999999</v>
      </c>
      <c r="F16" s="3">
        <f>[1]!s_fa_dupont_faturnover($A16,F$1)</f>
        <v>0.53539999999999999</v>
      </c>
      <c r="G16" s="3">
        <f>[1]!s_fa_dupont_faturnover($A16,G$1)</f>
        <v>0.3609</v>
      </c>
      <c r="H16" s="3">
        <f>[1]!s_fa_dupont_faturnover($A16,H$1)</f>
        <v>0.2</v>
      </c>
      <c r="I16" s="3">
        <f>[1]!s_fa_dupont_faturnover($A16,I$1)</f>
        <v>9.3100000000000002E-2</v>
      </c>
      <c r="J16" s="3">
        <f>[1]!s_fa_dupont_faturnover($A16,J$1)</f>
        <v>0.73580000000000001</v>
      </c>
      <c r="K16" s="3">
        <f>[1]!s_fa_dupont_faturnover($A16,K$1)</f>
        <v>0.54720000000000002</v>
      </c>
      <c r="L16" s="3">
        <f>[1]!s_fa_dupont_faturnover($A16,L$1)</f>
        <v>0.35020000000000001</v>
      </c>
      <c r="M16" s="3">
        <f>[1]!s_fa_dupont_faturnover($A16,M$1)</f>
        <v>0.17530000000000001</v>
      </c>
      <c r="N16" s="3">
        <f>[1]!s_fa_dupont_faturnover($A16,N$1)</f>
        <v>0.75929999999999997</v>
      </c>
      <c r="O16" s="3">
        <f>[1]!s_fa_dupont_faturnover($A16,O$1)</f>
        <v>0.56110000000000004</v>
      </c>
      <c r="P16" s="3">
        <f>[1]!s_fa_dupont_faturnover($A16,P$1)</f>
        <v>0.34649999999999997</v>
      </c>
      <c r="Q16" s="3">
        <f>[1]!s_fa_dupont_faturnover($A16,Q$1)</f>
        <v>0.1537</v>
      </c>
      <c r="R16" s="3">
        <f>[1]!s_fa_dupont_faturnover($A16,R$1)</f>
        <v>0.6169</v>
      </c>
      <c r="S16" s="3">
        <f>[1]!s_fa_dupont_faturnover($A16,S$1)</f>
        <v>0.44890000000000002</v>
      </c>
      <c r="T16" s="3">
        <f>[1]!s_fa_dupont_faturnover($A16,T$1)</f>
        <v>0.2717</v>
      </c>
      <c r="U16" s="3">
        <f>[1]!s_fa_dupont_faturnover($A16,U$1)</f>
        <v>0.12670000000000001</v>
      </c>
      <c r="V16" s="3">
        <f>[1]!s_fa_dupont_faturnover($A16,V$1)</f>
        <v>0.59260000000000002</v>
      </c>
      <c r="W16" s="3">
        <f>[1]!s_fa_dupont_faturnover($A16,W$1)</f>
        <v>0.4365</v>
      </c>
      <c r="X16" s="3">
        <f>[1]!s_fa_dupont_faturnover($A16,X$1)</f>
        <v>0.2727</v>
      </c>
      <c r="Y16" s="3">
        <f>[1]!s_fa_dupont_faturnover($A16,Y$1)</f>
        <v>0.13850000000000001</v>
      </c>
    </row>
    <row r="17" spans="1:25">
      <c r="A17" s="1" t="s">
        <v>15</v>
      </c>
      <c r="B17" s="1" t="s">
        <v>58</v>
      </c>
      <c r="C17" s="3">
        <f ca="1">[1]!s_fa_dupont_faturnover($A17,C$1)</f>
        <v>0.45760000000000001</v>
      </c>
      <c r="D17" s="3">
        <f>[1]!s_fa_dupont_faturnover($A17,D$1)</f>
        <v>0.45760000000000001</v>
      </c>
      <c r="E17" s="3">
        <f>[1]!s_fa_dupont_faturnover($A17,E$1)</f>
        <v>0.21310000000000001</v>
      </c>
      <c r="F17" s="3">
        <f>[1]!s_fa_dupont_faturnover($A17,F$1)</f>
        <v>0.88100000000000001</v>
      </c>
      <c r="G17" s="3">
        <f>[1]!s_fa_dupont_faturnover($A17,G$1)</f>
        <v>0.64970000000000006</v>
      </c>
      <c r="H17" s="3">
        <f>[1]!s_fa_dupont_faturnover($A17,H$1)</f>
        <v>0.39889999999999998</v>
      </c>
      <c r="I17" s="3">
        <f>[1]!s_fa_dupont_faturnover($A17,I$1)</f>
        <v>0.1651</v>
      </c>
      <c r="J17" s="3">
        <f>[1]!s_fa_dupont_faturnover($A17,J$1)</f>
        <v>0.9597</v>
      </c>
      <c r="K17" s="3">
        <f>[1]!s_fa_dupont_faturnover($A17,K$1)</f>
        <v>0.72609999999999997</v>
      </c>
      <c r="L17" s="3">
        <f>[1]!s_fa_dupont_faturnover($A17,L$1)</f>
        <v>0.4879</v>
      </c>
      <c r="M17" s="3">
        <f>[1]!s_fa_dupont_faturnover($A17,M$1)</f>
        <v>0.22309999999999999</v>
      </c>
      <c r="N17" s="3">
        <f>[1]!s_fa_dupont_faturnover($A17,N$1)</f>
        <v>0.95199999999999996</v>
      </c>
      <c r="O17" s="3">
        <f>[1]!s_fa_dupont_faturnover($A17,O$1)</f>
        <v>0.72260000000000002</v>
      </c>
      <c r="P17" s="3">
        <f>[1]!s_fa_dupont_faturnover($A17,P$1)</f>
        <v>0.48630000000000001</v>
      </c>
      <c r="Q17" s="3">
        <f>[1]!s_fa_dupont_faturnover($A17,Q$1)</f>
        <v>0.22539999999999999</v>
      </c>
      <c r="R17" s="3">
        <f>[1]!s_fa_dupont_faturnover($A17,R$1)</f>
        <v>0.93830000000000002</v>
      </c>
      <c r="S17" s="3">
        <f>[1]!s_fa_dupont_faturnover($A17,S$1)</f>
        <v>0.71550000000000002</v>
      </c>
      <c r="T17" s="3">
        <f>[1]!s_fa_dupont_faturnover($A17,T$1)</f>
        <v>0.47310000000000002</v>
      </c>
      <c r="U17" s="3">
        <f>[1]!s_fa_dupont_faturnover($A17,U$1)</f>
        <v>0.22509999999999999</v>
      </c>
      <c r="V17" s="3">
        <f>[1]!s_fa_dupont_faturnover($A17,V$1)</f>
        <v>0.91479999999999995</v>
      </c>
      <c r="W17" s="3">
        <f>[1]!s_fa_dupont_faturnover($A17,W$1)</f>
        <v>0.68679999999999997</v>
      </c>
      <c r="X17" s="3">
        <f>[1]!s_fa_dupont_faturnover($A17,X$1)</f>
        <v>0.44119999999999998</v>
      </c>
      <c r="Y17" s="3">
        <f>[1]!s_fa_dupont_faturnover($A17,Y$1)</f>
        <v>0.22670000000000001</v>
      </c>
    </row>
    <row r="18" spans="1:25">
      <c r="A18" s="1" t="s">
        <v>16</v>
      </c>
      <c r="B18" s="1" t="s">
        <v>59</v>
      </c>
      <c r="C18" s="3">
        <f ca="1">[1]!s_fa_dupont_faturnover($A18,C$1)</f>
        <v>0.31480000000000002</v>
      </c>
      <c r="D18" s="3">
        <f>[1]!s_fa_dupont_faturnover($A18,D$1)</f>
        <v>0.31480000000000002</v>
      </c>
      <c r="E18" s="3">
        <f>[1]!s_fa_dupont_faturnover($A18,E$1)</f>
        <v>0.15690000000000001</v>
      </c>
      <c r="F18" s="3">
        <f>[1]!s_fa_dupont_faturnover($A18,F$1)</f>
        <v>0.60189999999999999</v>
      </c>
      <c r="G18" s="3">
        <f>[1]!s_fa_dupont_faturnover($A18,G$1)</f>
        <v>0.42799999999999999</v>
      </c>
      <c r="H18" s="3">
        <f>[1]!s_fa_dupont_faturnover($A18,H$1)</f>
        <v>0.26390000000000002</v>
      </c>
      <c r="I18" s="3">
        <f>[1]!s_fa_dupont_faturnover($A18,I$1)</f>
        <v>0.11899999999999999</v>
      </c>
      <c r="J18" s="3">
        <f>[1]!s_fa_dupont_faturnover($A18,J$1)</f>
        <v>0.66869999999999996</v>
      </c>
      <c r="K18" s="3">
        <f>[1]!s_fa_dupont_faturnover($A18,K$1)</f>
        <v>0.46010000000000001</v>
      </c>
      <c r="L18" s="3">
        <f>[1]!s_fa_dupont_faturnover($A18,L$1)</f>
        <v>0.31180000000000002</v>
      </c>
      <c r="M18" s="3">
        <f>[1]!s_fa_dupont_faturnover($A18,M$1)</f>
        <v>0.15790000000000001</v>
      </c>
      <c r="N18" s="3">
        <f>[1]!s_fa_dupont_faturnover($A18,N$1)</f>
        <v>0.73970000000000002</v>
      </c>
      <c r="O18" s="3">
        <f>[1]!s_fa_dupont_faturnover($A18,O$1)</f>
        <v>0.52749999999999997</v>
      </c>
      <c r="P18" s="3">
        <f>[1]!s_fa_dupont_faturnover($A18,P$1)</f>
        <v>0.35880000000000001</v>
      </c>
      <c r="Q18" s="3">
        <f>[1]!s_fa_dupont_faturnover($A18,Q$1)</f>
        <v>0.1741</v>
      </c>
      <c r="R18" s="3">
        <f>[1]!s_fa_dupont_faturnover($A18,R$1)</f>
        <v>0.64759999999999995</v>
      </c>
      <c r="S18" s="3">
        <f>[1]!s_fa_dupont_faturnover($A18,S$1)</f>
        <v>0.44879999999999998</v>
      </c>
      <c r="T18" s="3">
        <f>[1]!s_fa_dupont_faturnover($A18,T$1)</f>
        <v>0.30409999999999998</v>
      </c>
      <c r="U18" s="3">
        <f>[1]!s_fa_dupont_faturnover($A18,U$1)</f>
        <v>0.1404</v>
      </c>
      <c r="V18" s="3">
        <f>[1]!s_fa_dupont_faturnover($A18,V$1)</f>
        <v>0.59960000000000002</v>
      </c>
      <c r="W18" s="3">
        <f>[1]!s_fa_dupont_faturnover($A18,W$1)</f>
        <v>0.42320000000000002</v>
      </c>
      <c r="X18" s="3">
        <f>[1]!s_fa_dupont_faturnover($A18,X$1)</f>
        <v>0.28499999999999998</v>
      </c>
      <c r="Y18" s="3">
        <f>[1]!s_fa_dupont_faturnover($A18,Y$1)</f>
        <v>0.1404</v>
      </c>
    </row>
    <row r="19" spans="1:25">
      <c r="A19" s="1" t="s">
        <v>17</v>
      </c>
      <c r="B19" s="1" t="s">
        <v>60</v>
      </c>
      <c r="C19" s="3">
        <f ca="1">[1]!s_fa_dupont_faturnover($A19,C$1)</f>
        <v>0.37869999999999998</v>
      </c>
      <c r="D19" s="3">
        <f>[1]!s_fa_dupont_faturnover($A19,D$1)</f>
        <v>0.37869999999999998</v>
      </c>
      <c r="E19" s="3">
        <f>[1]!s_fa_dupont_faturnover($A19,E$1)</f>
        <v>0.189</v>
      </c>
      <c r="F19" s="3">
        <f>[1]!s_fa_dupont_faturnover($A19,F$1)</f>
        <v>0.74919999999999998</v>
      </c>
      <c r="G19" s="3">
        <f>[1]!s_fa_dupont_faturnover($A19,G$1)</f>
        <v>0.54420000000000002</v>
      </c>
      <c r="H19" s="3">
        <f>[1]!s_fa_dupont_faturnover($A19,H$1)</f>
        <v>0.3518</v>
      </c>
      <c r="I19" s="3">
        <f>[1]!s_fa_dupont_faturnover($A19,I$1)</f>
        <v>0.16500000000000001</v>
      </c>
      <c r="J19" s="3">
        <f>[1]!s_fa_dupont_faturnover($A19,J$1)</f>
        <v>0.77910000000000001</v>
      </c>
      <c r="K19" s="3">
        <f>[1]!s_fa_dupont_faturnover($A19,K$1)</f>
        <v>0.58299999999999996</v>
      </c>
      <c r="L19" s="3">
        <f>[1]!s_fa_dupont_faturnover($A19,L$1)</f>
        <v>0.39369999999999999</v>
      </c>
      <c r="M19" s="3">
        <f>[1]!s_fa_dupont_faturnover($A19,M$1)</f>
        <v>0.1976</v>
      </c>
      <c r="N19" s="3">
        <f>[1]!s_fa_dupont_faturnover($A19,N$1)</f>
        <v>0.78610000000000002</v>
      </c>
      <c r="O19" s="3">
        <f>[1]!s_fa_dupont_faturnover($A19,O$1)</f>
        <v>0.58909999999999996</v>
      </c>
      <c r="P19" s="3">
        <f>[1]!s_fa_dupont_faturnover($A19,P$1)</f>
        <v>0.38879999999999998</v>
      </c>
      <c r="Q19" s="3">
        <f>[1]!s_fa_dupont_faturnover($A19,Q$1)</f>
        <v>0.19320000000000001</v>
      </c>
      <c r="R19" s="3">
        <f>[1]!s_fa_dupont_faturnover($A19,R$1)</f>
        <v>0.7661</v>
      </c>
      <c r="S19" s="3">
        <f>[1]!s_fa_dupont_faturnover($A19,S$1)</f>
        <v>0.55930000000000002</v>
      </c>
      <c r="T19" s="3">
        <f>[1]!s_fa_dupont_faturnover($A19,T$1)</f>
        <v>0.37480000000000002</v>
      </c>
      <c r="U19" s="3">
        <f>[1]!s_fa_dupont_faturnover($A19,U$1)</f>
        <v>0.1754</v>
      </c>
      <c r="V19" s="3">
        <f>[1]!s_fa_dupont_faturnover($A19,V$1)</f>
        <v>0.73509999999999998</v>
      </c>
      <c r="W19" s="3">
        <f>[1]!s_fa_dupont_faturnover($A19,W$1)</f>
        <v>0.53539999999999999</v>
      </c>
      <c r="X19" s="3">
        <f>[1]!s_fa_dupont_faturnover($A19,X$1)</f>
        <v>0.36359999999999998</v>
      </c>
      <c r="Y19" s="3">
        <f>[1]!s_fa_dupont_faturnover($A19,Y$1)</f>
        <v>0.19040000000000001</v>
      </c>
    </row>
    <row r="20" spans="1:25">
      <c r="A20" s="1" t="s">
        <v>18</v>
      </c>
      <c r="B20" s="1" t="s">
        <v>61</v>
      </c>
      <c r="C20" s="3">
        <f ca="1">[1]!s_fa_dupont_faturnover($A20,C$1)</f>
        <v>0.39479999999999998</v>
      </c>
      <c r="D20" s="3">
        <f>[1]!s_fa_dupont_faturnover($A20,D$1)</f>
        <v>0.39479999999999998</v>
      </c>
      <c r="E20" s="3">
        <f>[1]!s_fa_dupont_faturnover($A20,E$1)</f>
        <v>0.21629999999999999</v>
      </c>
      <c r="F20" s="3">
        <f>[1]!s_fa_dupont_faturnover($A20,F$1)</f>
        <v>0.75449999999999995</v>
      </c>
      <c r="G20" s="3">
        <f>[1]!s_fa_dupont_faturnover($A20,G$1)</f>
        <v>0.58320000000000005</v>
      </c>
      <c r="H20" s="3">
        <f>[1]!s_fa_dupont_faturnover($A20,H$1)</f>
        <v>0.39410000000000001</v>
      </c>
      <c r="I20" s="3">
        <f>[1]!s_fa_dupont_faturnover($A20,I$1)</f>
        <v>0.19769999999999999</v>
      </c>
      <c r="J20" s="3">
        <f>[1]!s_fa_dupont_faturnover($A20,J$1)</f>
        <v>0.77969999999999995</v>
      </c>
      <c r="K20" s="3">
        <f>[1]!s_fa_dupont_faturnover($A20,K$1)</f>
        <v>0.60040000000000004</v>
      </c>
      <c r="L20" s="3">
        <f>[1]!s_fa_dupont_faturnover($A20,L$1)</f>
        <v>0.40600000000000003</v>
      </c>
      <c r="M20" s="3">
        <f>[1]!s_fa_dupont_faturnover($A20,M$1)</f>
        <v>0.21679999999999999</v>
      </c>
      <c r="N20" s="3">
        <f>[1]!s_fa_dupont_faturnover($A20,N$1)</f>
        <v>0.76910000000000001</v>
      </c>
      <c r="O20" s="3">
        <f>[1]!s_fa_dupont_faturnover($A20,O$1)</f>
        <v>0.59</v>
      </c>
      <c r="P20" s="3">
        <f>[1]!s_fa_dupont_faturnover($A20,P$1)</f>
        <v>0.40189999999999998</v>
      </c>
      <c r="Q20" s="3">
        <f>[1]!s_fa_dupont_faturnover($A20,Q$1)</f>
        <v>0.2097</v>
      </c>
      <c r="R20" s="3">
        <f>[1]!s_fa_dupont_faturnover($A20,R$1)</f>
        <v>0.7601</v>
      </c>
      <c r="S20" s="3">
        <f>[1]!s_fa_dupont_faturnover($A20,S$1)</f>
        <v>0.58750000000000002</v>
      </c>
      <c r="T20" s="3">
        <f>[1]!s_fa_dupont_faturnover($A20,T$1)</f>
        <v>0.39460000000000001</v>
      </c>
      <c r="U20" s="3">
        <f>[1]!s_fa_dupont_faturnover($A20,U$1)</f>
        <v>0.20899999999999999</v>
      </c>
      <c r="V20" s="3">
        <f>[1]!s_fa_dupont_faturnover($A20,V$1)</f>
        <v>0.73650000000000004</v>
      </c>
      <c r="W20" s="3">
        <f>[1]!s_fa_dupont_faturnover($A20,W$1)</f>
        <v>0.56169999999999998</v>
      </c>
      <c r="X20" s="3">
        <f>[1]!s_fa_dupont_faturnover($A20,X$1)</f>
        <v>0.38629999999999998</v>
      </c>
      <c r="Y20" s="3">
        <f>[1]!s_fa_dupont_faturnover($A20,Y$1)</f>
        <v>0.21590000000000001</v>
      </c>
    </row>
    <row r="21" spans="1:25">
      <c r="A21" s="1" t="s">
        <v>19</v>
      </c>
      <c r="B21" s="1" t="s">
        <v>62</v>
      </c>
      <c r="C21" s="3">
        <f ca="1">[1]!s_fa_dupont_faturnover($A21,C$1)</f>
        <v>0.44450000000000001</v>
      </c>
      <c r="D21" s="3">
        <f>[1]!s_fa_dupont_faturnover($A21,D$1)</f>
        <v>0.44450000000000001</v>
      </c>
      <c r="E21" s="3">
        <f>[1]!s_fa_dupont_faturnover($A21,E$1)</f>
        <v>0.219</v>
      </c>
      <c r="F21" s="3">
        <f>[1]!s_fa_dupont_faturnover($A21,F$1)</f>
        <v>0.93510000000000004</v>
      </c>
      <c r="G21" s="3">
        <f>[1]!s_fa_dupont_faturnover($A21,G$1)</f>
        <v>0.66969999999999996</v>
      </c>
      <c r="H21" s="3">
        <f>[1]!s_fa_dupont_faturnover($A21,H$1)</f>
        <v>0.42370000000000002</v>
      </c>
      <c r="I21" s="3">
        <f>[1]!s_fa_dupont_faturnover($A21,I$1)</f>
        <v>0.18920000000000001</v>
      </c>
      <c r="J21" s="3">
        <f>[1]!s_fa_dupont_faturnover($A21,J$1)</f>
        <v>0.9254</v>
      </c>
      <c r="K21" s="3">
        <f>[1]!s_fa_dupont_faturnover($A21,K$1)</f>
        <v>0.62929999999999997</v>
      </c>
      <c r="L21" s="3">
        <f>[1]!s_fa_dupont_faturnover($A21,L$1)</f>
        <v>0.38919999999999999</v>
      </c>
      <c r="M21" s="3">
        <f>[1]!s_fa_dupont_faturnover($A21,M$1)</f>
        <v>0.17630000000000001</v>
      </c>
      <c r="N21" s="3">
        <f>[1]!s_fa_dupont_faturnover($A21,N$1)</f>
        <v>0.81210000000000004</v>
      </c>
      <c r="O21" s="3">
        <f>[1]!s_fa_dupont_faturnover($A21,O$1)</f>
        <v>0.59789999999999999</v>
      </c>
      <c r="P21" s="3">
        <f>[1]!s_fa_dupont_faturnover($A21,P$1)</f>
        <v>0.37869999999999998</v>
      </c>
      <c r="Q21" s="3">
        <f>[1]!s_fa_dupont_faturnover($A21,Q$1)</f>
        <v>0.1767</v>
      </c>
      <c r="R21" s="3">
        <f>[1]!s_fa_dupont_faturnover($A21,R$1)</f>
        <v>0.86580000000000001</v>
      </c>
      <c r="S21" s="3">
        <f>[1]!s_fa_dupont_faturnover($A21,S$1)</f>
        <v>0.63590000000000002</v>
      </c>
      <c r="T21" s="3">
        <f>[1]!s_fa_dupont_faturnover($A21,T$1)</f>
        <v>0.40570000000000001</v>
      </c>
      <c r="U21" s="3">
        <f>[1]!s_fa_dupont_faturnover($A21,U$1)</f>
        <v>0.18779999999999999</v>
      </c>
      <c r="V21" s="3">
        <f>[1]!s_fa_dupont_faturnover($A21,V$1)</f>
        <v>0.96479999999999999</v>
      </c>
      <c r="W21" s="3">
        <f>[1]!s_fa_dupont_faturnover($A21,W$1)</f>
        <v>0.69</v>
      </c>
      <c r="X21" s="3">
        <f>[1]!s_fa_dupont_faturnover($A21,X$1)</f>
        <v>0.43080000000000002</v>
      </c>
      <c r="Y21" s="3">
        <f>[1]!s_fa_dupont_faturnover($A21,Y$1)</f>
        <v>0.15790000000000001</v>
      </c>
    </row>
    <row r="22" spans="1:25">
      <c r="A22" s="1" t="s">
        <v>20</v>
      </c>
      <c r="B22" s="1" t="s">
        <v>63</v>
      </c>
      <c r="C22" s="3">
        <f ca="1">[1]!s_fa_dupont_faturnover($A22,C$1)</f>
        <v>1.35E-2</v>
      </c>
      <c r="D22" s="3">
        <f>[1]!s_fa_dupont_faturnover($A22,D$1)</f>
        <v>1.35E-2</v>
      </c>
      <c r="E22" s="3">
        <f>[1]!s_fa_dupont_faturnover($A22,E$1)</f>
        <v>6.8999999999999999E-3</v>
      </c>
      <c r="F22" s="3">
        <f>[1]!s_fa_dupont_faturnover($A22,F$1)</f>
        <v>2.69E-2</v>
      </c>
      <c r="G22" s="3">
        <f>[1]!s_fa_dupont_faturnover($A22,G$1)</f>
        <v>2.0400000000000001E-2</v>
      </c>
      <c r="H22" s="3">
        <f>[1]!s_fa_dupont_faturnover($A22,H$1)</f>
        <v>1.3899999999999999E-2</v>
      </c>
      <c r="I22" s="3">
        <f>[1]!s_fa_dupont_faturnover($A22,I$1)</f>
        <v>7.4000000000000003E-3</v>
      </c>
      <c r="J22" s="3">
        <f>[1]!s_fa_dupont_faturnover($A22,J$1)</f>
        <v>2.8000000000000001E-2</v>
      </c>
      <c r="K22" s="3">
        <f>[1]!s_fa_dupont_faturnover($A22,K$1)</f>
        <v>2.1399999999999999E-2</v>
      </c>
      <c r="L22" s="3">
        <f>[1]!s_fa_dupont_faturnover($A22,L$1)</f>
        <v>1.44E-2</v>
      </c>
      <c r="M22" s="3">
        <f>[1]!s_fa_dupont_faturnover($A22,M$1)</f>
        <v>7.6E-3</v>
      </c>
      <c r="N22" s="3">
        <f>[1]!s_fa_dupont_faturnover($A22,N$1)</f>
        <v>2.7400000000000001E-2</v>
      </c>
      <c r="O22" s="3">
        <f>[1]!s_fa_dupont_faturnover($A22,O$1)</f>
        <v>2.0500000000000001E-2</v>
      </c>
      <c r="P22" s="3">
        <f>[1]!s_fa_dupont_faturnover($A22,P$1)</f>
        <v>1.38E-2</v>
      </c>
      <c r="Q22" s="3">
        <f>[1]!s_fa_dupont_faturnover($A22,Q$1)</f>
        <v>7.0000000000000001E-3</v>
      </c>
      <c r="R22" s="3">
        <f>[1]!s_fa_dupont_faturnover($A22,R$1)</f>
        <v>2.69E-2</v>
      </c>
      <c r="S22" s="3">
        <f>[1]!s_fa_dupont_faturnover($A22,S$1)</f>
        <v>2.0299999999999999E-2</v>
      </c>
      <c r="T22" s="3">
        <f>[1]!s_fa_dupont_faturnover($A22,T$1)</f>
        <v>1.38E-2</v>
      </c>
      <c r="U22" s="3">
        <f>[1]!s_fa_dupont_faturnover($A22,U$1)</f>
        <v>7.1999999999999998E-3</v>
      </c>
      <c r="V22" s="3">
        <f>[1]!s_fa_dupont_faturnover($A22,V$1)</f>
        <v>2.8899999999999999E-2</v>
      </c>
      <c r="W22" s="3">
        <f>[1]!s_fa_dupont_faturnover($A22,W$1)</f>
        <v>2.2499999999999999E-2</v>
      </c>
      <c r="X22" s="3">
        <f>[1]!s_fa_dupont_faturnover($A22,X$1)</f>
        <v>1.5699999999999999E-2</v>
      </c>
      <c r="Y22" s="3">
        <f>[1]!s_fa_dupont_faturnover($A22,Y$1)</f>
        <v>8.3999999999999995E-3</v>
      </c>
    </row>
    <row r="23" spans="1:25">
      <c r="A23" s="1" t="s">
        <v>21</v>
      </c>
      <c r="B23" s="1" t="s">
        <v>64</v>
      </c>
      <c r="C23" s="3">
        <f ca="1">[1]!s_fa_dupont_faturnover($A23,C$1)</f>
        <v>7.5800000000000006E-2</v>
      </c>
      <c r="D23" s="3">
        <f>[1]!s_fa_dupont_faturnover($A23,D$1)</f>
        <v>7.5800000000000006E-2</v>
      </c>
      <c r="E23" s="3">
        <f>[1]!s_fa_dupont_faturnover($A23,E$1)</f>
        <v>4.3900000000000002E-2</v>
      </c>
      <c r="F23" s="3">
        <f>[1]!s_fa_dupont_faturnover($A23,F$1)</f>
        <v>0.1484</v>
      </c>
      <c r="G23" s="3">
        <f>[1]!s_fa_dupont_faturnover($A23,G$1)</f>
        <v>0.1183</v>
      </c>
      <c r="H23" s="3">
        <f>[1]!s_fa_dupont_faturnover($A23,H$1)</f>
        <v>8.3500000000000005E-2</v>
      </c>
      <c r="I23" s="3">
        <f>[1]!s_fa_dupont_faturnover($A23,I$1)</f>
        <v>4.7500000000000001E-2</v>
      </c>
      <c r="J23" s="3">
        <f>[1]!s_fa_dupont_faturnover($A23,J$1)</f>
        <v>0.158</v>
      </c>
      <c r="K23" s="3">
        <f>[1]!s_fa_dupont_faturnover($A23,K$1)</f>
        <v>0.12590000000000001</v>
      </c>
      <c r="L23" s="3">
        <f>[1]!s_fa_dupont_faturnover($A23,L$1)</f>
        <v>8.9399999999999993E-2</v>
      </c>
      <c r="M23" s="3">
        <f>[1]!s_fa_dupont_faturnover($A23,M$1)</f>
        <v>5.4100000000000002E-2</v>
      </c>
      <c r="N23" s="3">
        <f>[1]!s_fa_dupont_faturnover($A23,N$1)</f>
        <v>0.14929999999999999</v>
      </c>
      <c r="O23" s="3">
        <f>[1]!s_fa_dupont_faturnover($A23,O$1)</f>
        <v>0.10489999999999999</v>
      </c>
      <c r="P23" s="3">
        <f>[1]!s_fa_dupont_faturnover($A23,P$1)</f>
        <v>7.5700000000000003E-2</v>
      </c>
      <c r="Q23" s="3">
        <f>[1]!s_fa_dupont_faturnover($A23,Q$1)</f>
        <v>4.5499999999999999E-2</v>
      </c>
      <c r="R23" s="3">
        <f>[1]!s_fa_dupont_faturnover($A23,R$1)</f>
        <v>0.13930000000000001</v>
      </c>
      <c r="S23" s="3">
        <f>[1]!s_fa_dupont_faturnover($A23,S$1)</f>
        <v>0.1095</v>
      </c>
      <c r="T23" s="3">
        <f>[1]!s_fa_dupont_faturnover($A23,T$1)</f>
        <v>7.7499999999999999E-2</v>
      </c>
      <c r="U23" s="3">
        <f>[1]!s_fa_dupont_faturnover($A23,U$1)</f>
        <v>4.6800000000000001E-2</v>
      </c>
      <c r="V23" s="3">
        <f>[1]!s_fa_dupont_faturnover($A23,V$1)</f>
        <v>0.13550000000000001</v>
      </c>
      <c r="W23" s="3">
        <f>[1]!s_fa_dupont_faturnover($A23,W$1)</f>
        <v>0.1087</v>
      </c>
      <c r="X23" s="3">
        <f>[1]!s_fa_dupont_faturnover($A23,X$1)</f>
        <v>7.6399999999999996E-2</v>
      </c>
      <c r="Y23" s="3">
        <f>[1]!s_fa_dupont_faturnover($A23,Y$1)</f>
        <v>4.4600000000000001E-2</v>
      </c>
    </row>
    <row r="24" spans="1:25">
      <c r="A24" s="1" t="s">
        <v>22</v>
      </c>
      <c r="B24" s="1" t="s">
        <v>65</v>
      </c>
      <c r="C24" s="3">
        <f ca="1">[1]!s_fa_dupont_faturnover($A24,C$1)</f>
        <v>9.2799999999999994E-2</v>
      </c>
      <c r="D24" s="3">
        <f>[1]!s_fa_dupont_faturnover($A24,D$1)</f>
        <v>9.2799999999999994E-2</v>
      </c>
      <c r="E24" s="3">
        <f>[1]!s_fa_dupont_faturnover($A24,E$1)</f>
        <v>3.5999999999999997E-2</v>
      </c>
      <c r="F24" s="3">
        <f>[1]!s_fa_dupont_faturnover($A24,F$1)</f>
        <v>0.22040000000000001</v>
      </c>
      <c r="G24" s="3">
        <f>[1]!s_fa_dupont_faturnover($A24,G$1)</f>
        <v>0.12570000000000001</v>
      </c>
      <c r="H24" s="3">
        <f>[1]!s_fa_dupont_faturnover($A24,H$1)</f>
        <v>7.9899999999999999E-2</v>
      </c>
      <c r="I24" s="3">
        <f>[1]!s_fa_dupont_faturnover($A24,I$1)</f>
        <v>2.9899999999999999E-2</v>
      </c>
      <c r="J24" s="3">
        <f>[1]!s_fa_dupont_faturnover($A24,J$1)</f>
        <v>0.22750000000000001</v>
      </c>
      <c r="K24" s="3">
        <f>[1]!s_fa_dupont_faturnover($A24,K$1)</f>
        <v>0.1348</v>
      </c>
      <c r="L24" s="3">
        <f>[1]!s_fa_dupont_faturnover($A24,L$1)</f>
        <v>8.9800000000000005E-2</v>
      </c>
      <c r="M24" s="3">
        <f>[1]!s_fa_dupont_faturnover($A24,M$1)</f>
        <v>3.5900000000000001E-2</v>
      </c>
      <c r="N24" s="3">
        <f>[1]!s_fa_dupont_faturnover($A24,N$1)</f>
        <v>0.22559999999999999</v>
      </c>
      <c r="O24" s="3">
        <f>[1]!s_fa_dupont_faturnover($A24,O$1)</f>
        <v>0.13239999999999999</v>
      </c>
      <c r="P24" s="3">
        <f>[1]!s_fa_dupont_faturnover($A24,P$1)</f>
        <v>8.7800000000000003E-2</v>
      </c>
      <c r="Q24" s="3">
        <f>[1]!s_fa_dupont_faturnover($A24,Q$1)</f>
        <v>3.56E-2</v>
      </c>
      <c r="R24" s="3">
        <f>[1]!s_fa_dupont_faturnover($A24,R$1)</f>
        <v>0.2344</v>
      </c>
      <c r="S24" s="3">
        <f>[1]!s_fa_dupont_faturnover($A24,S$1)</f>
        <v>0.1331</v>
      </c>
      <c r="T24" s="3">
        <f>[1]!s_fa_dupont_faturnover($A24,T$1)</f>
        <v>9.2299999999999993E-2</v>
      </c>
      <c r="U24" s="3">
        <f>[1]!s_fa_dupont_faturnover($A24,U$1)</f>
        <v>3.8199999999999998E-2</v>
      </c>
      <c r="V24" s="3">
        <f>[1]!s_fa_dupont_faturnover($A24,V$1)</f>
        <v>0.27939999999999998</v>
      </c>
      <c r="W24" s="3">
        <f>[1]!s_fa_dupont_faturnover($A24,W$1)</f>
        <v>0.16389999999999999</v>
      </c>
      <c r="X24" s="3">
        <f>[1]!s_fa_dupont_faturnover($A24,X$1)</f>
        <v>0.11119999999999999</v>
      </c>
      <c r="Y24" s="3">
        <f>[1]!s_fa_dupont_faturnover($A24,Y$1)</f>
        <v>4.3499999999999997E-2</v>
      </c>
    </row>
    <row r="25" spans="1:25">
      <c r="A25" s="1" t="s">
        <v>23</v>
      </c>
      <c r="B25" s="1" t="s">
        <v>66</v>
      </c>
      <c r="C25" s="3">
        <f ca="1">[1]!s_fa_dupont_faturnover($A25,C$1)</f>
        <v>0.29210000000000003</v>
      </c>
      <c r="D25" s="3">
        <f>[1]!s_fa_dupont_faturnover($A25,D$1)</f>
        <v>0.29210000000000003</v>
      </c>
      <c r="E25" s="3">
        <f>[1]!s_fa_dupont_faturnover($A25,E$1)</f>
        <v>0.12770000000000001</v>
      </c>
      <c r="F25" s="3">
        <f>[1]!s_fa_dupont_faturnover($A25,F$1)</f>
        <v>0.50619999999999998</v>
      </c>
      <c r="G25" s="3">
        <f>[1]!s_fa_dupont_faturnover($A25,G$1)</f>
        <v>0.35980000000000001</v>
      </c>
      <c r="H25" s="3">
        <f>[1]!s_fa_dupont_faturnover($A25,H$1)</f>
        <v>0.22270000000000001</v>
      </c>
      <c r="I25" s="3">
        <f>[1]!s_fa_dupont_faturnover($A25,I$1)</f>
        <v>0.1216</v>
      </c>
      <c r="J25" s="3">
        <f>[1]!s_fa_dupont_faturnover($A25,J$1)</f>
        <v>0.65800000000000003</v>
      </c>
      <c r="K25" s="3">
        <f>[1]!s_fa_dupont_faturnover($A25,K$1)</f>
        <v>0.47870000000000001</v>
      </c>
      <c r="L25" s="3">
        <f>[1]!s_fa_dupont_faturnover($A25,L$1)</f>
        <v>0.30790000000000001</v>
      </c>
      <c r="M25" s="3">
        <f>[1]!s_fa_dupont_faturnover($A25,M$1)</f>
        <v>0.14710000000000001</v>
      </c>
      <c r="N25" s="3">
        <f>[1]!s_fa_dupont_faturnover($A25,N$1)</f>
        <v>0.67330000000000001</v>
      </c>
      <c r="O25" s="3">
        <f>[1]!s_fa_dupont_faturnover($A25,O$1)</f>
        <v>0.50660000000000005</v>
      </c>
      <c r="P25" s="3">
        <f>[1]!s_fa_dupont_faturnover($A25,P$1)</f>
        <v>0.32990000000000003</v>
      </c>
      <c r="Q25" s="3">
        <f>[1]!s_fa_dupont_faturnover($A25,Q$1)</f>
        <v>0.15840000000000001</v>
      </c>
      <c r="R25" s="3">
        <f>[1]!s_fa_dupont_faturnover($A25,R$1)</f>
        <v>0.67979999999999996</v>
      </c>
      <c r="S25" s="3">
        <f>[1]!s_fa_dupont_faturnover($A25,S$1)</f>
        <v>0.49669999999999997</v>
      </c>
      <c r="T25" s="3">
        <f>[1]!s_fa_dupont_faturnover($A25,T$1)</f>
        <v>0.32429999999999998</v>
      </c>
      <c r="U25" s="3">
        <f>[1]!s_fa_dupont_faturnover($A25,U$1)</f>
        <v>0.15190000000000001</v>
      </c>
      <c r="V25" s="3">
        <f>[1]!s_fa_dupont_faturnover($A25,V$1)</f>
        <v>0.50660000000000005</v>
      </c>
      <c r="W25" s="3">
        <f>[1]!s_fa_dupont_faturnover($A25,W$1)</f>
        <v>0.35139999999999999</v>
      </c>
      <c r="X25" s="3">
        <f>[1]!s_fa_dupont_faturnover($A25,X$1)</f>
        <v>0.22239999999999999</v>
      </c>
      <c r="Y25" s="3">
        <f>[1]!s_fa_dupont_faturnover($A25,Y$1)</f>
        <v>0.1067</v>
      </c>
    </row>
    <row r="26" spans="1:25">
      <c r="A26" s="1" t="s">
        <v>24</v>
      </c>
      <c r="B26" s="1" t="s">
        <v>67</v>
      </c>
      <c r="C26" s="3">
        <f ca="1">[1]!s_fa_dupont_faturnover($A26,C$1)</f>
        <v>0.32669999999999999</v>
      </c>
      <c r="D26" s="3">
        <f>[1]!s_fa_dupont_faturnover($A26,D$1)</f>
        <v>0.32669999999999999</v>
      </c>
      <c r="E26" s="3">
        <f>[1]!s_fa_dupont_faturnover($A26,E$1)</f>
        <v>0.16259999999999999</v>
      </c>
      <c r="F26" s="3">
        <f>[1]!s_fa_dupont_faturnover($A26,F$1)</f>
        <v>0.63759999999999994</v>
      </c>
      <c r="G26" s="3">
        <f>[1]!s_fa_dupont_faturnover($A26,G$1)</f>
        <v>0.46329999999999999</v>
      </c>
      <c r="H26" s="3">
        <f>[1]!s_fa_dupont_faturnover($A26,H$1)</f>
        <v>0.28570000000000001</v>
      </c>
      <c r="I26" s="3">
        <f>[1]!s_fa_dupont_faturnover($A26,I$1)</f>
        <v>0.1273</v>
      </c>
      <c r="J26" s="3">
        <f>[1]!s_fa_dupont_faturnover($A26,J$1)</f>
        <v>0.66239999999999999</v>
      </c>
      <c r="K26" s="3">
        <f>[1]!s_fa_dupont_faturnover($A26,K$1)</f>
        <v>0.47449999999999998</v>
      </c>
      <c r="L26" s="3">
        <f>[1]!s_fa_dupont_faturnover($A26,L$1)</f>
        <v>0.30159999999999998</v>
      </c>
      <c r="M26" s="3">
        <f>[1]!s_fa_dupont_faturnover($A26,M$1)</f>
        <v>0.14369999999999999</v>
      </c>
      <c r="N26" s="3">
        <f>[1]!s_fa_dupont_faturnover($A26,N$1)</f>
        <v>0.66749999999999998</v>
      </c>
      <c r="O26" s="3">
        <f>[1]!s_fa_dupont_faturnover($A26,O$1)</f>
        <v>0.47389999999999999</v>
      </c>
      <c r="P26" s="3">
        <f>[1]!s_fa_dupont_faturnover($A26,P$1)</f>
        <v>0.30080000000000001</v>
      </c>
      <c r="Q26" s="3">
        <f>[1]!s_fa_dupont_faturnover($A26,Q$1)</f>
        <v>0.13769999999999999</v>
      </c>
      <c r="R26" s="3">
        <f>[1]!s_fa_dupont_faturnover($A26,R$1)</f>
        <v>0.66320000000000001</v>
      </c>
      <c r="S26" s="3">
        <f>[1]!s_fa_dupont_faturnover($A26,S$1)</f>
        <v>0.48330000000000001</v>
      </c>
      <c r="T26" s="3">
        <f>[1]!s_fa_dupont_faturnover($A26,T$1)</f>
        <v>0.31219999999999998</v>
      </c>
      <c r="U26" s="3">
        <f>[1]!s_fa_dupont_faturnover($A26,U$1)</f>
        <v>0.14230000000000001</v>
      </c>
      <c r="V26" s="3">
        <f>[1]!s_fa_dupont_faturnover($A26,V$1)</f>
        <v>0.61680000000000001</v>
      </c>
      <c r="W26" s="3">
        <f>[1]!s_fa_dupont_faturnover($A26,W$1)</f>
        <v>0.44700000000000001</v>
      </c>
      <c r="X26" s="3">
        <f>[1]!s_fa_dupont_faturnover($A26,X$1)</f>
        <v>0.28460000000000002</v>
      </c>
      <c r="Y26" s="3">
        <f>[1]!s_fa_dupont_faturnover($A26,Y$1)</f>
        <v>0.1305</v>
      </c>
    </row>
    <row r="27" spans="1:25">
      <c r="A27" s="1" t="s">
        <v>25</v>
      </c>
      <c r="B27" s="1" t="s">
        <v>68</v>
      </c>
      <c r="C27" s="3">
        <f ca="1">[1]!s_fa_dupont_faturnover($A27,C$1)</f>
        <v>0.39539999999999997</v>
      </c>
      <c r="D27" s="3">
        <f>[1]!s_fa_dupont_faturnover($A27,D$1)</f>
        <v>0.39539999999999997</v>
      </c>
      <c r="E27" s="3">
        <f>[1]!s_fa_dupont_faturnover($A27,E$1)</f>
        <v>0.19040000000000001</v>
      </c>
      <c r="F27" s="3">
        <f>[1]!s_fa_dupont_faturnover($A27,F$1)</f>
        <v>0.80510000000000004</v>
      </c>
      <c r="G27" s="3">
        <f>[1]!s_fa_dupont_faturnover($A27,G$1)</f>
        <v>0.56140000000000001</v>
      </c>
      <c r="H27" s="3">
        <f>[1]!s_fa_dupont_faturnover($A27,H$1)</f>
        <v>0.36159999999999998</v>
      </c>
      <c r="I27" s="3">
        <f>[1]!s_fa_dupont_faturnover($A27,I$1)</f>
        <v>0.1658</v>
      </c>
      <c r="J27" s="3">
        <f>[1]!s_fa_dupont_faturnover($A27,J$1)</f>
        <v>0.80369999999999997</v>
      </c>
      <c r="K27" s="3">
        <f>[1]!s_fa_dupont_faturnover($A27,K$1)</f>
        <v>0.5675</v>
      </c>
      <c r="L27" s="3">
        <f>[1]!s_fa_dupont_faturnover($A27,L$1)</f>
        <v>0.40860000000000002</v>
      </c>
      <c r="M27" s="3">
        <f>[1]!s_fa_dupont_faturnover($A27,M$1)</f>
        <v>0.19750000000000001</v>
      </c>
      <c r="N27" s="3">
        <f>[1]!s_fa_dupont_faturnover($A27,N$1)</f>
        <v>0.90620000000000001</v>
      </c>
      <c r="O27" s="3">
        <f>[1]!s_fa_dupont_faturnover($A27,O$1)</f>
        <v>0.6361</v>
      </c>
      <c r="P27" s="3">
        <f>[1]!s_fa_dupont_faturnover($A27,P$1)</f>
        <v>0.33439999999999998</v>
      </c>
      <c r="Q27" s="3">
        <f>[1]!s_fa_dupont_faturnover($A27,Q$1)</f>
        <v>0.1575</v>
      </c>
      <c r="R27" s="3">
        <f>[1]!s_fa_dupont_faturnover($A27,R$1)</f>
        <v>0.64570000000000005</v>
      </c>
      <c r="S27" s="3">
        <f>[1]!s_fa_dupont_faturnover($A27,S$1)</f>
        <v>0.45660000000000001</v>
      </c>
      <c r="T27" s="3">
        <f>[1]!s_fa_dupont_faturnover($A27,T$1)</f>
        <v>0.3004</v>
      </c>
      <c r="U27" s="3">
        <f>[1]!s_fa_dupont_faturnover($A27,U$1)</f>
        <v>0.1421</v>
      </c>
      <c r="V27" s="3">
        <f>[1]!s_fa_dupont_faturnover($A27,V$1)</f>
        <v>0.60199999999999998</v>
      </c>
      <c r="W27" s="3">
        <f>[1]!s_fa_dupont_faturnover($A27,W$1)</f>
        <v>0.44429999999999997</v>
      </c>
      <c r="X27" s="3">
        <f>[1]!s_fa_dupont_faturnover($A27,X$1)</f>
        <v>0.30070000000000002</v>
      </c>
      <c r="Y27" s="3">
        <f>[1]!s_fa_dupont_faturnover($A27,Y$1)</f>
        <v>0.1474</v>
      </c>
    </row>
    <row r="28" spans="1:25">
      <c r="A28" s="1" t="s">
        <v>26</v>
      </c>
      <c r="B28" s="1" t="s">
        <v>69</v>
      </c>
      <c r="C28" s="3">
        <f ca="1">[1]!s_fa_dupont_faturnover($A28,C$1)</f>
        <v>0.3831</v>
      </c>
      <c r="D28" s="3">
        <f>[1]!s_fa_dupont_faturnover($A28,D$1)</f>
        <v>0.3831</v>
      </c>
      <c r="E28" s="3">
        <f>[1]!s_fa_dupont_faturnover($A28,E$1)</f>
        <v>0.17399999999999999</v>
      </c>
      <c r="F28" s="3">
        <f>[1]!s_fa_dupont_faturnover($A28,F$1)</f>
        <v>0.8498</v>
      </c>
      <c r="G28" s="3">
        <f>[1]!s_fa_dupont_faturnover($A28,G$1)</f>
        <v>0.57689999999999997</v>
      </c>
      <c r="H28" s="3">
        <f>[1]!s_fa_dupont_faturnover($A28,H$1)</f>
        <v>0.36670000000000003</v>
      </c>
      <c r="I28" s="3">
        <f>[1]!s_fa_dupont_faturnover($A28,I$1)</f>
        <v>0.10589999999999999</v>
      </c>
      <c r="J28" s="3">
        <f>[1]!s_fa_dupont_faturnover($A28,J$1)</f>
        <v>0.72619999999999996</v>
      </c>
      <c r="K28" s="3">
        <f>[1]!s_fa_dupont_faturnover($A28,K$1)</f>
        <v>0.43869999999999998</v>
      </c>
      <c r="L28" s="3">
        <f>[1]!s_fa_dupont_faturnover($A28,L$1)</f>
        <v>0.23849999999999999</v>
      </c>
      <c r="M28" s="3">
        <f>[1]!s_fa_dupont_faturnover($A28,M$1)</f>
        <v>0.11070000000000001</v>
      </c>
      <c r="N28" s="3">
        <f>[1]!s_fa_dupont_faturnover($A28,N$1)</f>
        <v>0.56520000000000004</v>
      </c>
      <c r="O28" s="3">
        <f>[1]!s_fa_dupont_faturnover($A28,O$1)</f>
        <v>0.38929999999999998</v>
      </c>
      <c r="P28" s="3">
        <f>[1]!s_fa_dupont_faturnover($A28,P$1)</f>
        <v>0.252</v>
      </c>
      <c r="Q28" s="3">
        <f>[1]!s_fa_dupont_faturnover($A28,Q$1)</f>
        <v>0.12939999999999999</v>
      </c>
      <c r="R28" s="3">
        <f>[1]!s_fa_dupont_faturnover($A28,R$1)</f>
        <v>0.63700000000000001</v>
      </c>
      <c r="S28" s="3">
        <f>[1]!s_fa_dupont_faturnover($A28,S$1)</f>
        <v>0.4214</v>
      </c>
      <c r="T28" s="3">
        <f>[1]!s_fa_dupont_faturnover($A28,T$1)</f>
        <v>0.27539999999999998</v>
      </c>
      <c r="U28" s="3">
        <f>[1]!s_fa_dupont_faturnover($A28,U$1)</f>
        <v>0.1202</v>
      </c>
      <c r="V28" s="3">
        <f>[1]!s_fa_dupont_faturnover($A28,V$1)</f>
        <v>0.67090000000000005</v>
      </c>
      <c r="W28" s="3">
        <f>[1]!s_fa_dupont_faturnover($A28,W$1)</f>
        <v>0.44779999999999998</v>
      </c>
      <c r="X28" s="3">
        <f>[1]!s_fa_dupont_faturnover($A28,X$1)</f>
        <v>0.2883</v>
      </c>
      <c r="Y28" s="3">
        <f>[1]!s_fa_dupont_faturnover($A28,Y$1)</f>
        <v>0.13089999999999999</v>
      </c>
    </row>
    <row r="29" spans="1:25">
      <c r="A29" s="1" t="s">
        <v>27</v>
      </c>
      <c r="B29" s="1" t="s">
        <v>70</v>
      </c>
      <c r="C29" s="3">
        <f ca="1">[1]!s_fa_dupont_faturnover($A29,C$1)</f>
        <v>0.25369999999999998</v>
      </c>
      <c r="D29" s="3">
        <f>[1]!s_fa_dupont_faturnover($A29,D$1)</f>
        <v>0.25369999999999998</v>
      </c>
      <c r="E29" s="3">
        <f>[1]!s_fa_dupont_faturnover($A29,E$1)</f>
        <v>0.1195</v>
      </c>
      <c r="F29" s="3">
        <f>[1]!s_fa_dupont_faturnover($A29,F$1)</f>
        <v>0.49330000000000002</v>
      </c>
      <c r="G29" s="3">
        <f>[1]!s_fa_dupont_faturnover($A29,G$1)</f>
        <v>0.33479999999999999</v>
      </c>
      <c r="H29" s="3">
        <f>[1]!s_fa_dupont_faturnover($A29,H$1)</f>
        <v>0.21529999999999999</v>
      </c>
      <c r="I29" s="3">
        <f>[1]!s_fa_dupont_faturnover($A29,I$1)</f>
        <v>0.10340000000000001</v>
      </c>
      <c r="J29" s="3">
        <f>[1]!s_fa_dupont_faturnover($A29,J$1)</f>
        <v>0.52100000000000002</v>
      </c>
      <c r="K29" s="3">
        <f>[1]!s_fa_dupont_faturnover($A29,K$1)</f>
        <v>0.43070000000000003</v>
      </c>
      <c r="L29" s="3">
        <f>[1]!s_fa_dupont_faturnover($A29,L$1)</f>
        <v>0.27850000000000003</v>
      </c>
      <c r="M29" s="3">
        <f>[1]!s_fa_dupont_faturnover($A29,M$1)</f>
        <v>0.12970000000000001</v>
      </c>
      <c r="N29" s="3">
        <f>[1]!s_fa_dupont_faturnover($A29,N$1)</f>
        <v>0.59130000000000005</v>
      </c>
      <c r="O29" s="3">
        <f>[1]!s_fa_dupont_faturnover($A29,O$1)</f>
        <v>0.41139999999999999</v>
      </c>
      <c r="P29" s="3">
        <f>[1]!s_fa_dupont_faturnover($A29,P$1)</f>
        <v>0.26650000000000001</v>
      </c>
      <c r="Q29" s="3">
        <f>[1]!s_fa_dupont_faturnover($A29,Q$1)</f>
        <v>0.12180000000000001</v>
      </c>
      <c r="R29" s="3">
        <f>[1]!s_fa_dupont_faturnover($A29,R$1)</f>
        <v>0.56769999999999998</v>
      </c>
      <c r="S29" s="3">
        <f>[1]!s_fa_dupont_faturnover($A29,S$1)</f>
        <v>0.39040000000000002</v>
      </c>
      <c r="T29" s="3">
        <f>[1]!s_fa_dupont_faturnover($A29,T$1)</f>
        <v>0.255</v>
      </c>
      <c r="U29" s="3">
        <f>[1]!s_fa_dupont_faturnover($A29,U$1)</f>
        <v>0.1205</v>
      </c>
      <c r="V29" s="3">
        <f>[1]!s_fa_dupont_faturnover($A29,V$1)</f>
        <v>0.58050000000000002</v>
      </c>
      <c r="W29" s="3">
        <f>[1]!s_fa_dupont_faturnover($A29,W$1)</f>
        <v>0.41110000000000002</v>
      </c>
      <c r="X29" s="3">
        <f>[1]!s_fa_dupont_faturnover($A29,X$1)</f>
        <v>0.2737</v>
      </c>
      <c r="Y29" s="3">
        <f>[1]!s_fa_dupont_faturnover($A29,Y$1)</f>
        <v>0.12529999999999999</v>
      </c>
    </row>
    <row r="30" spans="1:25">
      <c r="A30" s="1" t="s">
        <v>28</v>
      </c>
      <c r="B30" s="1" t="s">
        <v>71</v>
      </c>
      <c r="C30" s="3">
        <f ca="1">[1]!s_fa_dupont_faturnover($A30,C$1)</f>
        <v>0.49249999999999999</v>
      </c>
      <c r="D30" s="3">
        <f>[1]!s_fa_dupont_faturnover($A30,D$1)</f>
        <v>0.49249999999999999</v>
      </c>
      <c r="E30" s="3">
        <f>[1]!s_fa_dupont_faturnover($A30,E$1)</f>
        <v>0.19769999999999999</v>
      </c>
      <c r="F30" s="3">
        <f>[1]!s_fa_dupont_faturnover($A30,F$1)</f>
        <v>0.84760000000000002</v>
      </c>
      <c r="G30" s="3">
        <f>[1]!s_fa_dupont_faturnover($A30,G$1)</f>
        <v>0.58940000000000003</v>
      </c>
      <c r="H30" s="3">
        <f>[1]!s_fa_dupont_faturnover($A30,H$1)</f>
        <v>0.36280000000000001</v>
      </c>
      <c r="I30" s="3">
        <f>[1]!s_fa_dupont_faturnover($A30,I$1)</f>
        <v>0.14899999999999999</v>
      </c>
      <c r="J30" s="3">
        <f>[1]!s_fa_dupont_faturnover($A30,J$1)</f>
        <v>0.85129999999999995</v>
      </c>
      <c r="K30" s="3">
        <f>[1]!s_fa_dupont_faturnover($A30,K$1)</f>
        <v>0.58230000000000004</v>
      </c>
      <c r="L30" s="3">
        <f>[1]!s_fa_dupont_faturnover($A30,L$1)</f>
        <v>0.372</v>
      </c>
      <c r="M30" s="3">
        <f>[1]!s_fa_dupont_faturnover($A30,M$1)</f>
        <v>0.16350000000000001</v>
      </c>
      <c r="N30" s="3">
        <f>[1]!s_fa_dupont_faturnover($A30,N$1)</f>
        <v>0.76629999999999998</v>
      </c>
      <c r="O30" s="3">
        <f>[1]!s_fa_dupont_faturnover($A30,O$1)</f>
        <v>0.5222</v>
      </c>
      <c r="P30" s="3">
        <f>[1]!s_fa_dupont_faturnover($A30,P$1)</f>
        <v>0.33379999999999999</v>
      </c>
      <c r="Q30" s="3">
        <f>[1]!s_fa_dupont_faturnover($A30,Q$1)</f>
        <v>0.1457</v>
      </c>
      <c r="R30" s="3">
        <f>[1]!s_fa_dupont_faturnover($A30,R$1)</f>
        <v>0.38100000000000001</v>
      </c>
      <c r="S30" s="3">
        <f>[1]!s_fa_dupont_faturnover($A30,S$1)</f>
        <v>0.27310000000000001</v>
      </c>
      <c r="T30" s="3">
        <f>[1]!s_fa_dupont_faturnover($A30,T$1)</f>
        <v>0.17560000000000001</v>
      </c>
      <c r="U30" s="3">
        <f>[1]!s_fa_dupont_faturnover($A30,U$1)</f>
        <v>0.08</v>
      </c>
      <c r="V30" s="3">
        <f>[1]!s_fa_dupont_faturnover($A30,V$1)</f>
        <v>0.36990000000000001</v>
      </c>
      <c r="W30" s="3">
        <f>[1]!s_fa_dupont_faturnover($A30,W$1)</f>
        <v>0.28549999999999998</v>
      </c>
      <c r="X30" s="3">
        <f>[1]!s_fa_dupont_faturnover($A30,X$1)</f>
        <v>0.19320000000000001</v>
      </c>
      <c r="Y30" s="3">
        <f>[1]!s_fa_dupont_faturnover($A30,Y$1)</f>
        <v>8.3299999999999999E-2</v>
      </c>
    </row>
    <row r="31" spans="1:25">
      <c r="A31" s="1" t="s">
        <v>29</v>
      </c>
      <c r="B31" s="1" t="s">
        <v>72</v>
      </c>
      <c r="C31" s="3">
        <f ca="1">[1]!s_fa_dupont_faturnover($A31,C$1)</f>
        <v>0.14899999999999999</v>
      </c>
      <c r="D31" s="3">
        <f>[1]!s_fa_dupont_faturnover($A31,D$1)</f>
        <v>0.14899999999999999</v>
      </c>
      <c r="E31" s="3">
        <f>[1]!s_fa_dupont_faturnover($A31,E$1)</f>
        <v>7.6100000000000001E-2</v>
      </c>
      <c r="F31" s="3">
        <f>[1]!s_fa_dupont_faturnover($A31,F$1)</f>
        <v>0.25540000000000002</v>
      </c>
      <c r="G31" s="3">
        <f>[1]!s_fa_dupont_faturnover($A31,G$1)</f>
        <v>0.20619999999999999</v>
      </c>
      <c r="H31" s="3">
        <f>[1]!s_fa_dupont_faturnover($A31,H$1)</f>
        <v>0.13539999999999999</v>
      </c>
      <c r="I31" s="3">
        <f>[1]!s_fa_dupont_faturnover($A31,I$1)</f>
        <v>5.7000000000000002E-2</v>
      </c>
      <c r="J31" s="3">
        <f>[1]!s_fa_dupont_faturnover($A31,J$1)</f>
        <v>0.37459999999999999</v>
      </c>
      <c r="K31" s="3" t="str">
        <f>[1]!s_fa_dupont_faturnover($A31,K$1)</f>
        <v>#N/A</v>
      </c>
      <c r="L31" s="3" t="str">
        <f>[1]!s_fa_dupont_faturnover($A31,L$1)</f>
        <v>#N/A</v>
      </c>
      <c r="M31" s="3" t="str">
        <f>[1]!s_fa_dupont_faturnover($A31,M$1)</f>
        <v>#N/A</v>
      </c>
      <c r="N31" s="3" t="str">
        <f>[1]!s_fa_dupont_faturnover($A31,N$1)</f>
        <v>#N/A</v>
      </c>
      <c r="O31" s="3" t="str">
        <f>[1]!s_fa_dupont_faturnover($A31,O$1)</f>
        <v>#N/A</v>
      </c>
      <c r="P31" s="3" t="str">
        <f>[1]!s_fa_dupont_faturnover($A31,P$1)</f>
        <v>#N/A</v>
      </c>
      <c r="Q31" s="3" t="str">
        <f>[1]!s_fa_dupont_faturnover($A31,Q$1)</f>
        <v>#N/A</v>
      </c>
      <c r="R31" s="3" t="str">
        <f>[1]!s_fa_dupont_faturnover($A31,R$1)</f>
        <v>#N/A</v>
      </c>
      <c r="S31" s="3" t="str">
        <f>[1]!s_fa_dupont_faturnover($A31,S$1)</f>
        <v>#N/A</v>
      </c>
      <c r="T31" s="3" t="str">
        <f>[1]!s_fa_dupont_faturnover($A31,T$1)</f>
        <v>#N/A</v>
      </c>
      <c r="U31" s="3" t="str">
        <f>[1]!s_fa_dupont_faturnover($A31,U$1)</f>
        <v>#N/A</v>
      </c>
      <c r="V31" s="3" t="str">
        <f>[1]!s_fa_dupont_faturnover($A31,V$1)</f>
        <v>#N/A</v>
      </c>
      <c r="W31" s="3" t="str">
        <f>[1]!s_fa_dupont_faturnover($A31,W$1)</f>
        <v>#N/A</v>
      </c>
      <c r="X31" s="3" t="str">
        <f>[1]!s_fa_dupont_faturnover($A31,X$1)</f>
        <v>#N/A</v>
      </c>
      <c r="Y31" s="3" t="str">
        <f>[1]!s_fa_dupont_faturnover($A31,Y$1)</f>
        <v>#N/A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I1" display="总资产周转率" xr:uid="{B385D424-C754-7C43-9216-1C2EDE407429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760AF-FCDF-7B43-97E4-D21E062CC6B6}">
  <sheetPr codeName="Sheet11"/>
  <dimension ref="A1:Y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A1:B1"/>
    </sheetView>
  </sheetViews>
  <sheetFormatPr baseColWidth="10" defaultRowHeight="16"/>
  <cols>
    <col min="1" max="1" width="10.83203125" style="9"/>
    <col min="2" max="2" width="16.33203125" style="9" customWidth="1"/>
    <col min="3" max="25" width="13.33203125" bestFit="1" customWidth="1"/>
  </cols>
  <sheetData>
    <row r="1" spans="1:25" s="7" customFormat="1">
      <c r="A1" s="13" t="s">
        <v>76</v>
      </c>
      <c r="B1" s="12">
        <f ca="1">TODAY()</f>
        <v>44440</v>
      </c>
      <c r="C1" s="10">
        <f ca="1">[1]!TDays("2016-01-01",B1,"Days=Alldays","Period=Q","Direction=H","Order=D","cols=23;rows=1")</f>
        <v>44440</v>
      </c>
      <c r="D1" s="11">
        <v>44377</v>
      </c>
      <c r="E1" s="11">
        <v>44286</v>
      </c>
      <c r="F1" s="11">
        <v>44196</v>
      </c>
      <c r="G1" s="11">
        <v>44104</v>
      </c>
      <c r="H1" s="11">
        <v>44012</v>
      </c>
      <c r="I1" s="11">
        <v>43921</v>
      </c>
      <c r="J1" s="11">
        <v>43830</v>
      </c>
      <c r="K1" s="11">
        <v>43738</v>
      </c>
      <c r="L1" s="11">
        <v>43646</v>
      </c>
      <c r="M1" s="11">
        <v>43555</v>
      </c>
      <c r="N1" s="11">
        <v>43465</v>
      </c>
      <c r="O1" s="11">
        <v>43373</v>
      </c>
      <c r="P1" s="11">
        <v>43281</v>
      </c>
      <c r="Q1" s="11">
        <v>43190</v>
      </c>
      <c r="R1" s="11">
        <v>43100</v>
      </c>
      <c r="S1" s="11">
        <v>43008</v>
      </c>
      <c r="T1" s="11">
        <v>42916</v>
      </c>
      <c r="U1" s="11">
        <v>42825</v>
      </c>
      <c r="V1" s="11">
        <v>42735</v>
      </c>
      <c r="W1" s="11">
        <v>42643</v>
      </c>
      <c r="X1" s="11">
        <v>42551</v>
      </c>
      <c r="Y1" s="11">
        <v>42460</v>
      </c>
    </row>
    <row r="2" spans="1:25">
      <c r="A2" s="8" t="s">
        <v>0</v>
      </c>
      <c r="B2" s="1" t="s">
        <v>43</v>
      </c>
      <c r="C2" s="3">
        <f ca="1">1/[1]!fa_netturndays($A2,C$1)</f>
        <v>8.9493466976910685E-2</v>
      </c>
      <c r="D2" s="3">
        <f>1/[1]!fa_netturndays($A2,D$1)</f>
        <v>8.9493466976910685E-2</v>
      </c>
      <c r="E2" s="3">
        <f>1/[1]!fa_netturndays($A2,E$1)</f>
        <v>8.6054076381598205E-2</v>
      </c>
      <c r="F2" s="3">
        <f>1/[1]!fa_netturndays($A2,F$1)</f>
        <v>7.9045134771954781E-2</v>
      </c>
      <c r="G2" s="3">
        <f>1/[1]!fa_netturndays($A2,G$1)</f>
        <v>5.7047669032243342E-2</v>
      </c>
      <c r="H2" s="3">
        <f>1/[1]!fa_netturndays($A2,H$1)</f>
        <v>7.0406173213267337E-2</v>
      </c>
      <c r="I2" s="3">
        <f>1/[1]!fa_netturndays($A2,I$1)</f>
        <v>6.9698067969555882E-2</v>
      </c>
      <c r="J2" s="3">
        <f>1/[1]!fa_netturndays($A2,J$1)</f>
        <v>9.7310342143162976E-2</v>
      </c>
      <c r="K2" s="3">
        <f>1/[1]!fa_netturndays($A2,K$1)</f>
        <v>8.5686865917192212E-2</v>
      </c>
      <c r="L2" s="3">
        <f>1/[1]!fa_netturndays($A2,L$1)</f>
        <v>8.750054687841799E-2</v>
      </c>
      <c r="M2" s="3">
        <f>1/[1]!fa_netturndays($A2,M$1)</f>
        <v>3.7467777711168396E-2</v>
      </c>
      <c r="N2" s="3">
        <f>1/[1]!fa_netturndays($A2,N$1)</f>
        <v>9.2876381536175362E-2</v>
      </c>
      <c r="O2" s="3">
        <f>1/[1]!fa_netturndays($A2,O$1)</f>
        <v>7.2713523261056096E-2</v>
      </c>
      <c r="P2" s="3">
        <f>1/[1]!fa_netturndays($A2,P$1)</f>
        <v>7.9865187563392989E-2</v>
      </c>
      <c r="Q2" s="3">
        <f>1/[1]!fa_netturndays($A2,Q$1)</f>
        <v>7.8792272053956947E-2</v>
      </c>
      <c r="R2" s="3">
        <f>1/[1]!fa_netturndays($A2,R$1)</f>
        <v>9.2476996347158655E-2</v>
      </c>
      <c r="S2" s="3">
        <f>1/[1]!fa_netturndays($A2,S$1)</f>
        <v>9.0819922258146543E-2</v>
      </c>
      <c r="T2" s="3">
        <f>1/[1]!fa_netturndays($A2,T$1)</f>
        <v>9.2804840700490943E-2</v>
      </c>
      <c r="U2" s="3">
        <f>1/[1]!fa_netturndays($A2,U$1)</f>
        <v>9.0850451072489583E-2</v>
      </c>
      <c r="V2" s="3">
        <f>1/[1]!fa_netturndays($A2,V$1)</f>
        <v>7.5854117361490392E-2</v>
      </c>
      <c r="W2" s="3">
        <f>1/[1]!fa_netturndays($A2,W$1)</f>
        <v>6.8135207505774453E-2</v>
      </c>
      <c r="X2" s="3">
        <f>1/[1]!fa_netturndays($A2,X$1)</f>
        <v>6.4900507521968812E-2</v>
      </c>
      <c r="Y2" s="3">
        <f>1/[1]!fa_netturndays($A2,Y$1)</f>
        <v>6.7879906868767784E-2</v>
      </c>
    </row>
    <row r="3" spans="1:25">
      <c r="A3" s="8" t="s">
        <v>1</v>
      </c>
      <c r="B3" s="1" t="s">
        <v>44</v>
      </c>
      <c r="C3" s="3">
        <f ca="1">1/[1]!fa_netturndays($A3,C$1)</f>
        <v>5.3734551316496508E-2</v>
      </c>
      <c r="D3" s="3">
        <f>1/[1]!fa_netturndays($A3,D$1)</f>
        <v>5.3734551316496508E-2</v>
      </c>
      <c r="E3" s="3">
        <f>1/[1]!fa_netturndays($A3,E$1)</f>
        <v>4.9863871630448871E-2</v>
      </c>
      <c r="F3" s="3">
        <f>1/[1]!fa_netturndays($A3,F$1)</f>
        <v>4.8789293677395429E-2</v>
      </c>
      <c r="G3" s="3">
        <f>1/[1]!fa_netturndays($A3,G$1)</f>
        <v>4.2315146283460697E-2</v>
      </c>
      <c r="H3" s="3">
        <f>1/[1]!fa_netturndays($A3,H$1)</f>
        <v>4.0314452731304171E-2</v>
      </c>
      <c r="I3" s="3">
        <f>1/[1]!fa_netturndays($A3,I$1)</f>
        <v>3.7945911897181758E-2</v>
      </c>
      <c r="J3" s="3">
        <f>1/[1]!fa_netturndays($A3,J$1)</f>
        <v>4.8341640038479947E-2</v>
      </c>
      <c r="K3" s="3">
        <f>1/[1]!fa_netturndays($A3,K$1)</f>
        <v>4.4472511540616745E-2</v>
      </c>
      <c r="L3" s="3">
        <f>1/[1]!fa_netturndays($A3,L$1)</f>
        <v>4.4288548752834465E-2</v>
      </c>
      <c r="M3" s="3">
        <f>1/[1]!fa_netturndays($A3,M$1)</f>
        <v>4.3032592885851748E-2</v>
      </c>
      <c r="N3" s="3">
        <f>1/[1]!fa_netturndays($A3,N$1)</f>
        <v>4.2209587485701507E-2</v>
      </c>
      <c r="O3" s="3">
        <f>1/[1]!fa_netturndays($A3,O$1)</f>
        <v>3.4085370218248624E-2</v>
      </c>
      <c r="P3" s="3">
        <f>1/[1]!fa_netturndays($A3,P$1)</f>
        <v>3.6796496973488121E-2</v>
      </c>
      <c r="Q3" s="3">
        <f>1/[1]!fa_netturndays($A3,Q$1)</f>
        <v>3.3530155345209714E-2</v>
      </c>
      <c r="R3" s="3">
        <f>1/[1]!fa_netturndays($A3,R$1)</f>
        <v>3.3367590726479185E-2</v>
      </c>
      <c r="S3" s="3">
        <f>1/[1]!fa_netturndays($A3,S$1)</f>
        <v>3.1636459120949346E-2</v>
      </c>
      <c r="T3" s="3">
        <f>1/[1]!fa_netturndays($A3,T$1)</f>
        <v>3.0516274329099712E-2</v>
      </c>
      <c r="U3" s="3">
        <f>1/[1]!fa_netturndays($A3,U$1)</f>
        <v>2.9203560498095926E-2</v>
      </c>
      <c r="V3" s="3">
        <f>1/[1]!fa_netturndays($A3,V$1)</f>
        <v>2.0708778658361068E-2</v>
      </c>
      <c r="W3" s="3">
        <f>1/[1]!fa_netturndays($A3,W$1)</f>
        <v>1.7151070055260748E-2</v>
      </c>
      <c r="X3" s="3">
        <f>1/[1]!fa_netturndays($A3,X$1)</f>
        <v>1.4528801896880375E-2</v>
      </c>
      <c r="Y3" s="3">
        <f>1/[1]!fa_netturndays($A3,Y$1)</f>
        <v>1.3203394328613999E-2</v>
      </c>
    </row>
    <row r="4" spans="1:25">
      <c r="A4" s="8" t="s">
        <v>2</v>
      </c>
      <c r="B4" s="1" t="s">
        <v>45</v>
      </c>
      <c r="C4" s="3">
        <f ca="1">1/[1]!fa_netturndays($A4,C$1)</f>
        <v>8.3081319996012093E-2</v>
      </c>
      <c r="D4" s="3">
        <f>1/[1]!fa_netturndays($A4,D$1)</f>
        <v>8.3081319996012093E-2</v>
      </c>
      <c r="E4" s="3">
        <f>1/[1]!fa_netturndays($A4,E$1)</f>
        <v>7.7261243442451971E-2</v>
      </c>
      <c r="F4" s="3">
        <f>1/[1]!fa_netturndays($A4,F$1)</f>
        <v>7.9759445512334798E-2</v>
      </c>
      <c r="G4" s="3">
        <f>1/[1]!fa_netturndays($A4,G$1)</f>
        <v>7.0430967087609084E-2</v>
      </c>
      <c r="H4" s="3">
        <f>1/[1]!fa_netturndays($A4,H$1)</f>
        <v>6.8178874094073208E-2</v>
      </c>
      <c r="I4" s="3">
        <f>1/[1]!fa_netturndays($A4,I$1)</f>
        <v>5.8696813350003228E-2</v>
      </c>
      <c r="J4" s="3">
        <f>1/[1]!fa_netturndays($A4,J$1)</f>
        <v>6.7822819665904782E-2</v>
      </c>
      <c r="K4" s="3">
        <f>1/[1]!fa_netturndays($A4,K$1)</f>
        <v>6.1937913435572187E-2</v>
      </c>
      <c r="L4" s="3">
        <f>1/[1]!fa_netturndays($A4,L$1)</f>
        <v>5.7892482082276799E-2</v>
      </c>
      <c r="M4" s="3">
        <f>1/[1]!fa_netturndays($A4,M$1)</f>
        <v>5.310025859825937E-2</v>
      </c>
      <c r="N4" s="3">
        <f>1/[1]!fa_netturndays($A4,N$1)</f>
        <v>6.0290358365890126E-2</v>
      </c>
      <c r="O4" s="3">
        <f>1/[1]!fa_netturndays($A4,O$1)</f>
        <v>5.4648392244300174E-2</v>
      </c>
      <c r="P4" s="3">
        <f>1/[1]!fa_netturndays($A4,P$1)</f>
        <v>5.382218227420249E-2</v>
      </c>
      <c r="Q4" s="3">
        <f>1/[1]!fa_netturndays($A4,Q$1)</f>
        <v>4.8962724677702865E-2</v>
      </c>
      <c r="R4" s="3">
        <f>1/[1]!fa_netturndays($A4,R$1)</f>
        <v>5.6509945750452074E-2</v>
      </c>
      <c r="S4" s="3">
        <f>1/[1]!fa_netturndays($A4,S$1)</f>
        <v>5.2991362407927511E-2</v>
      </c>
      <c r="T4" s="3">
        <f>1/[1]!fa_netturndays($A4,T$1)</f>
        <v>5.3552398344159841E-2</v>
      </c>
      <c r="U4" s="3">
        <f>1/[1]!fa_netturndays($A4,U$1)</f>
        <v>4.8997510926444943E-2</v>
      </c>
      <c r="V4" s="3">
        <f>1/[1]!fa_netturndays($A4,V$1)</f>
        <v>5.599198194818502E-2</v>
      </c>
      <c r="W4" s="3">
        <f>1/[1]!fa_netturndays($A4,W$1)</f>
        <v>5.2663731541362099E-2</v>
      </c>
      <c r="X4" s="3">
        <f>1/[1]!fa_netturndays($A4,X$1)</f>
        <v>5.2029948438321101E-2</v>
      </c>
      <c r="Y4" s="3">
        <f>1/[1]!fa_netturndays($A4,Y$1)</f>
        <v>4.4459659527927332E-2</v>
      </c>
    </row>
    <row r="5" spans="1:25">
      <c r="A5" s="8" t="s">
        <v>3</v>
      </c>
      <c r="B5" s="1" t="s">
        <v>46</v>
      </c>
      <c r="C5" s="3">
        <f ca="1">1/[1]!fa_netturndays($A5,C$1)</f>
        <v>1.4766402889489718E-2</v>
      </c>
      <c r="D5" s="3">
        <f>1/[1]!fa_netturndays($A5,D$1)</f>
        <v>1.4766402889489718E-2</v>
      </c>
      <c r="E5" s="3">
        <f>1/[1]!fa_netturndays($A5,E$1)</f>
        <v>1.5105580454587339E-2</v>
      </c>
      <c r="F5" s="3">
        <f>1/[1]!fa_netturndays($A5,F$1)</f>
        <v>1.5701372456966463E-2</v>
      </c>
      <c r="G5" s="3">
        <f>1/[1]!fa_netturndays($A5,G$1)</f>
        <v>1.4735635334285254E-2</v>
      </c>
      <c r="H5" s="3">
        <f>1/[1]!fa_netturndays($A5,H$1)</f>
        <v>1.383636834072887E-2</v>
      </c>
      <c r="I5" s="3">
        <f>1/[1]!fa_netturndays($A5,I$1)</f>
        <v>1.3557649157866622E-2</v>
      </c>
      <c r="J5" s="3">
        <f>1/[1]!fa_netturndays($A5,J$1)</f>
        <v>1.6917353652202892E-2</v>
      </c>
      <c r="K5" s="3">
        <f>1/[1]!fa_netturndays($A5,K$1)</f>
        <v>1.5598798892485279E-2</v>
      </c>
      <c r="L5" s="3">
        <f>1/[1]!fa_netturndays($A5,L$1)</f>
        <v>1.4935694367899011E-2</v>
      </c>
      <c r="M5" s="3">
        <f>1/[1]!fa_netturndays($A5,M$1)</f>
        <v>1.5623681751852189E-2</v>
      </c>
      <c r="N5" s="3">
        <f>1/[1]!fa_netturndays($A5,N$1)</f>
        <v>1.696560054832821E-2</v>
      </c>
      <c r="O5" s="3">
        <f>1/[1]!fa_netturndays($A5,O$1)</f>
        <v>1.5528215544054324E-2</v>
      </c>
      <c r="P5" s="3">
        <f>1/[1]!fa_netturndays($A5,P$1)</f>
        <v>1.620992501288689E-2</v>
      </c>
      <c r="Q5" s="3">
        <f>1/[1]!fa_netturndays($A5,Q$1)</f>
        <v>1.6676394563495373E-2</v>
      </c>
      <c r="R5" s="3">
        <f>1/[1]!fa_netturndays($A5,R$1)</f>
        <v>1.8929104823703784E-2</v>
      </c>
      <c r="S5" s="3">
        <f>1/[1]!fa_netturndays($A5,S$1)</f>
        <v>1.8448652787130218E-2</v>
      </c>
      <c r="T5" s="3">
        <f>1/[1]!fa_netturndays($A5,T$1)</f>
        <v>1.8079128730628214E-2</v>
      </c>
      <c r="U5" s="3">
        <f>1/[1]!fa_netturndays($A5,U$1)</f>
        <v>1.8239953889396567E-2</v>
      </c>
      <c r="V5" s="3">
        <f>1/[1]!fa_netturndays($A5,V$1)</f>
        <v>2.0024710492748052E-2</v>
      </c>
      <c r="W5" s="3">
        <f>1/[1]!fa_netturndays($A5,W$1)</f>
        <v>1.8900911969002506E-2</v>
      </c>
      <c r="X5" s="3">
        <f>1/[1]!fa_netturndays($A5,X$1)</f>
        <v>1.8250373220132354E-2</v>
      </c>
      <c r="Y5" s="3">
        <f>1/[1]!fa_netturndays($A5,Y$1)</f>
        <v>1.8488252564320632E-2</v>
      </c>
    </row>
    <row r="6" spans="1:25">
      <c r="A6" s="8" t="s">
        <v>4</v>
      </c>
      <c r="B6" s="1" t="s">
        <v>47</v>
      </c>
      <c r="C6" s="3">
        <f ca="1">1/[1]!fa_netturndays($A6,C$1)</f>
        <v>0.11731030922997512</v>
      </c>
      <c r="D6" s="3">
        <f>1/[1]!fa_netturndays($A6,D$1)</f>
        <v>0.11731030922997512</v>
      </c>
      <c r="E6" s="3">
        <f>1/[1]!fa_netturndays($A6,E$1)</f>
        <v>0.11382521000751247</v>
      </c>
      <c r="F6" s="3">
        <f>1/[1]!fa_netturndays($A6,F$1)</f>
        <v>0.10079425875902108</v>
      </c>
      <c r="G6" s="3">
        <f>1/[1]!fa_netturndays($A6,G$1)</f>
        <v>8.5141164049994889E-2</v>
      </c>
      <c r="H6" s="3">
        <f>1/[1]!fa_netturndays($A6,H$1)</f>
        <v>8.2203717252094147E-2</v>
      </c>
      <c r="I6" s="3">
        <f>1/[1]!fa_netturndays($A6,I$1)</f>
        <v>7.2533147648475349E-2</v>
      </c>
      <c r="J6" s="3">
        <f>1/[1]!fa_netturndays($A6,J$1)</f>
        <v>9.3187091724054386E-2</v>
      </c>
      <c r="K6" s="3">
        <f>1/[1]!fa_netturndays($A6,K$1)</f>
        <v>8.8972720963752513E-2</v>
      </c>
      <c r="L6" s="3">
        <f>1/[1]!fa_netturndays($A6,L$1)</f>
        <v>8.1926249989759226E-2</v>
      </c>
      <c r="M6" s="3">
        <f>1/[1]!fa_netturndays($A6,M$1)</f>
        <v>7.7070696950312531E-2</v>
      </c>
      <c r="N6" s="3">
        <f>1/[1]!fa_netturndays($A6,N$1)</f>
        <v>9.2936802973977703E-2</v>
      </c>
      <c r="O6" s="3">
        <f>1/[1]!fa_netturndays($A6,O$1)</f>
        <v>8.4054803732033279E-2</v>
      </c>
      <c r="P6" s="3">
        <f>1/[1]!fa_netturndays($A6,P$1)</f>
        <v>8.5448905826760888E-2</v>
      </c>
      <c r="Q6" s="3">
        <f>1/[1]!fa_netturndays($A6,Q$1)</f>
        <v>7.662893968536158E-2</v>
      </c>
      <c r="R6" s="3">
        <f>1/[1]!fa_netturndays($A6,R$1)</f>
        <v>8.1338506462344334E-2</v>
      </c>
      <c r="S6" s="3">
        <f>1/[1]!fa_netturndays($A6,S$1)</f>
        <v>7.8067059604200004E-2</v>
      </c>
      <c r="T6" s="3">
        <f>1/[1]!fa_netturndays($A6,T$1)</f>
        <v>7.8843834017960635E-2</v>
      </c>
      <c r="U6" s="3">
        <f>1/[1]!fa_netturndays($A6,U$1)</f>
        <v>7.4430236539291719E-2</v>
      </c>
      <c r="V6" s="3">
        <f>1/[1]!fa_netturndays($A6,V$1)</f>
        <v>5.7416158055199895E-2</v>
      </c>
      <c r="W6" s="3">
        <f>1/[1]!fa_netturndays($A6,W$1)</f>
        <v>5.0929462694168572E-2</v>
      </c>
      <c r="X6" s="3">
        <f>1/[1]!fa_netturndays($A6,X$1)</f>
        <v>4.8475917164352754E-2</v>
      </c>
      <c r="Y6" s="3">
        <f>1/[1]!fa_netturndays($A6,Y$1)</f>
        <v>4.2578557438473982E-2</v>
      </c>
    </row>
    <row r="7" spans="1:25">
      <c r="A7" s="8" t="s">
        <v>5</v>
      </c>
      <c r="B7" s="1" t="s">
        <v>48</v>
      </c>
      <c r="C7" s="3">
        <f ca="1">1/[1]!fa_netturndays($A7,C$1)</f>
        <v>2.4513589108122086E-2</v>
      </c>
      <c r="D7" s="3">
        <f>1/[1]!fa_netturndays($A7,D$1)</f>
        <v>2.4513589108122086E-2</v>
      </c>
      <c r="E7" s="3">
        <f>1/[1]!fa_netturndays($A7,E$1)</f>
        <v>2.3321983301459955E-2</v>
      </c>
      <c r="F7" s="3">
        <f>1/[1]!fa_netturndays($A7,F$1)</f>
        <v>2.328153192480065E-2</v>
      </c>
      <c r="G7" s="3">
        <f>1/[1]!fa_netturndays($A7,G$1)</f>
        <v>2.1283116529319621E-2</v>
      </c>
      <c r="H7" s="3">
        <f>1/[1]!fa_netturndays($A7,H$1)</f>
        <v>2.0753604901171334E-2</v>
      </c>
      <c r="I7" s="3">
        <f>1/[1]!fa_netturndays($A7,I$1)</f>
        <v>1.7569103677037706E-2</v>
      </c>
      <c r="J7" s="3">
        <f>1/[1]!fa_netturndays($A7,J$1)</f>
        <v>2.1497748110885385E-2</v>
      </c>
      <c r="K7" s="3">
        <f>1/[1]!fa_netturndays($A7,K$1)</f>
        <v>2.1009197826808577E-2</v>
      </c>
      <c r="L7" s="3">
        <f>1/[1]!fa_netturndays($A7,L$1)</f>
        <v>2.0442874431688091E-2</v>
      </c>
      <c r="M7" s="3">
        <f>1/[1]!fa_netturndays($A7,M$1)</f>
        <v>1.9477344926249033E-2</v>
      </c>
      <c r="N7" s="3">
        <f>1/[1]!fa_netturndays($A7,N$1)</f>
        <v>2.3587353404598589E-2</v>
      </c>
      <c r="O7" s="3">
        <f>1/[1]!fa_netturndays($A7,O$1)</f>
        <v>2.2603927206312827E-2</v>
      </c>
      <c r="P7" s="3">
        <f>1/[1]!fa_netturndays($A7,P$1)</f>
        <v>2.2086512870915377E-2</v>
      </c>
      <c r="Q7" s="3">
        <f>1/[1]!fa_netturndays($A7,Q$1)</f>
        <v>1.934037709867267E-2</v>
      </c>
      <c r="R7" s="3">
        <f>1/[1]!fa_netturndays($A7,R$1)</f>
        <v>2.324149070921409E-2</v>
      </c>
      <c r="S7" s="3">
        <f>1/[1]!fa_netturndays($A7,S$1)</f>
        <v>2.1522872356453202E-2</v>
      </c>
      <c r="T7" s="3">
        <f>1/[1]!fa_netturndays($A7,T$1)</f>
        <v>2.2062830528779859E-2</v>
      </c>
      <c r="U7" s="3">
        <f>1/[1]!fa_netturndays($A7,U$1)</f>
        <v>2.1994167146872648E-2</v>
      </c>
      <c r="V7" s="3">
        <f>1/[1]!fa_netturndays($A7,V$1)</f>
        <v>1.8989024343929208E-2</v>
      </c>
      <c r="W7" s="3">
        <f>1/[1]!fa_netturndays($A7,W$1)</f>
        <v>1.7819435658472698E-2</v>
      </c>
      <c r="X7" s="3">
        <f>1/[1]!fa_netturndays($A7,X$1)</f>
        <v>1.759420376551149E-2</v>
      </c>
      <c r="Y7" s="3">
        <f>1/[1]!fa_netturndays($A7,Y$1)</f>
        <v>1.5735220300951824E-2</v>
      </c>
    </row>
    <row r="8" spans="1:25">
      <c r="A8" s="8" t="s">
        <v>6</v>
      </c>
      <c r="B8" s="1" t="s">
        <v>49</v>
      </c>
      <c r="C8" s="3">
        <f ca="1">1/[1]!fa_netturndays($A8,C$1)</f>
        <v>1.6620378911398424E-2</v>
      </c>
      <c r="D8" s="3">
        <f>1/[1]!fa_netturndays($A8,D$1)</f>
        <v>1.6620378911398424E-2</v>
      </c>
      <c r="E8" s="3">
        <f>1/[1]!fa_netturndays($A8,E$1)</f>
        <v>1.567479195632376E-2</v>
      </c>
      <c r="F8" s="3">
        <f>1/[1]!fa_netturndays($A8,F$1)</f>
        <v>1.6325491111586363E-2</v>
      </c>
      <c r="G8" s="3">
        <f>1/[1]!fa_netturndays($A8,G$1)</f>
        <v>1.5231874830545394E-2</v>
      </c>
      <c r="H8" s="3">
        <f>1/[1]!fa_netturndays($A8,H$1)</f>
        <v>1.4484692576884749E-2</v>
      </c>
      <c r="I8" s="3">
        <f>1/[1]!fa_netturndays($A8,I$1)</f>
        <v>1.1274008000036076E-2</v>
      </c>
      <c r="J8" s="3">
        <f>1/[1]!fa_netturndays($A8,J$1)</f>
        <v>1.5876720441118802E-2</v>
      </c>
      <c r="K8" s="3">
        <f>1/[1]!fa_netturndays($A8,K$1)</f>
        <v>1.4365318673046783E-2</v>
      </c>
      <c r="L8" s="3">
        <f>1/[1]!fa_netturndays($A8,L$1)</f>
        <v>1.4407602603741944E-2</v>
      </c>
      <c r="M8" s="3">
        <f>1/[1]!fa_netturndays($A8,M$1)</f>
        <v>1.2853536522038673E-2</v>
      </c>
      <c r="N8" s="3">
        <f>1/[1]!fa_netturndays($A8,N$1)</f>
        <v>1.4628330688043534E-2</v>
      </c>
      <c r="O8" s="3">
        <f>1/[1]!fa_netturndays($A8,O$1)</f>
        <v>1.239831829210686E-2</v>
      </c>
      <c r="P8" s="3">
        <f>1/[1]!fa_netturndays($A8,P$1)</f>
        <v>1.2439311708004573E-2</v>
      </c>
      <c r="Q8" s="3">
        <f>1/[1]!fa_netturndays($A8,Q$1)</f>
        <v>1.1527430674031926E-2</v>
      </c>
      <c r="R8" s="3">
        <f>1/[1]!fa_netturndays($A8,R$1)</f>
        <v>1.3244436674374929E-2</v>
      </c>
      <c r="S8" s="3">
        <f>1/[1]!fa_netturndays($A8,S$1)</f>
        <v>1.1907937354723164E-2</v>
      </c>
      <c r="T8" s="3">
        <f>1/[1]!fa_netturndays($A8,T$1)</f>
        <v>1.1707257680253718E-2</v>
      </c>
      <c r="U8" s="3">
        <f>1/[1]!fa_netturndays($A8,U$1)</f>
        <v>1.061367189531523E-2</v>
      </c>
      <c r="V8" s="3">
        <f>1/[1]!fa_netturndays($A8,V$1)</f>
        <v>1.3525576865853329E-2</v>
      </c>
      <c r="W8" s="3">
        <f>1/[1]!fa_netturndays($A8,W$1)</f>
        <v>1.2006300906715846E-2</v>
      </c>
      <c r="X8" s="3">
        <f>1/[1]!fa_netturndays($A8,X$1)</f>
        <v>1.1906037551642438E-2</v>
      </c>
      <c r="Y8" s="3">
        <f>1/[1]!fa_netturndays($A8,Y$1)</f>
        <v>1.1391921988118225E-2</v>
      </c>
    </row>
    <row r="9" spans="1:25">
      <c r="A9" s="8" t="s">
        <v>7</v>
      </c>
      <c r="B9" s="1" t="s">
        <v>50</v>
      </c>
      <c r="C9" s="3">
        <f ca="1">1/[1]!fa_netturndays($A9,C$1)</f>
        <v>2.0390020308460228E-2</v>
      </c>
      <c r="D9" s="3">
        <f>1/[1]!fa_netturndays($A9,D$1)</f>
        <v>2.0390020308460228E-2</v>
      </c>
      <c r="E9" s="3">
        <f>1/[1]!fa_netturndays($A9,E$1)</f>
        <v>1.8006792162003508E-2</v>
      </c>
      <c r="F9" s="3">
        <f>1/[1]!fa_netturndays($A9,F$1)</f>
        <v>2.3161551823972209E-2</v>
      </c>
      <c r="G9" s="3">
        <f>1/[1]!fa_netturndays($A9,G$1)</f>
        <v>1.8992017654979612E-2</v>
      </c>
      <c r="H9" s="3">
        <f>1/[1]!fa_netturndays($A9,H$1)</f>
        <v>1.7701872149998583E-2</v>
      </c>
      <c r="I9" s="3">
        <f>1/[1]!fa_netturndays($A9,I$1)</f>
        <v>1.2235154780825555E-2</v>
      </c>
      <c r="J9" s="3">
        <f>1/[1]!fa_netturndays($A9,J$1)</f>
        <v>2.356828557220262E-2</v>
      </c>
      <c r="K9" s="3">
        <f>1/[1]!fa_netturndays($A9,K$1)</f>
        <v>2.0365188561280889E-2</v>
      </c>
      <c r="L9" s="3">
        <f>1/[1]!fa_netturndays($A9,L$1)</f>
        <v>1.9558027690255605E-2</v>
      </c>
      <c r="M9" s="3">
        <f>1/[1]!fa_netturndays($A9,M$1)</f>
        <v>1.7195662566074334E-2</v>
      </c>
      <c r="N9" s="3">
        <f>1/[1]!fa_netturndays($A9,N$1)</f>
        <v>2.2733627809592229E-2</v>
      </c>
      <c r="O9" s="3">
        <f>1/[1]!fa_netturndays($A9,O$1)</f>
        <v>1.8995589224182145E-2</v>
      </c>
      <c r="P9" s="3">
        <f>1/[1]!fa_netturndays($A9,P$1)</f>
        <v>1.8347075292727586E-2</v>
      </c>
      <c r="Q9" s="3">
        <f>1/[1]!fa_netturndays($A9,Q$1)</f>
        <v>1.4708694309206172E-2</v>
      </c>
      <c r="R9" s="3">
        <f>1/[1]!fa_netturndays($A9,R$1)</f>
        <v>1.8460845469800827E-2</v>
      </c>
      <c r="S9" s="3">
        <f>1/[1]!fa_netturndays($A9,S$1)</f>
        <v>1.657193046417977E-2</v>
      </c>
      <c r="T9" s="3">
        <f>1/[1]!fa_netturndays($A9,T$1)</f>
        <v>1.5848337747095396E-2</v>
      </c>
      <c r="U9" s="3">
        <f>1/[1]!fa_netturndays($A9,U$1)</f>
        <v>1.3374705756473357E-2</v>
      </c>
      <c r="V9" s="3">
        <f>1/[1]!fa_netturndays($A9,V$1)</f>
        <v>1.5378629548806387E-2</v>
      </c>
      <c r="W9" s="3">
        <f>1/[1]!fa_netturndays($A9,W$1)</f>
        <v>1.3242226812860849E-2</v>
      </c>
      <c r="X9" s="3">
        <f>1/[1]!fa_netturndays($A9,X$1)</f>
        <v>1.2802343340925124E-2</v>
      </c>
      <c r="Y9" s="3">
        <f>1/[1]!fa_netturndays($A9,Y$1)</f>
        <v>1.0881096814558908E-2</v>
      </c>
    </row>
    <row r="10" spans="1:25">
      <c r="A10" s="8" t="s">
        <v>8</v>
      </c>
      <c r="B10" s="1" t="s">
        <v>51</v>
      </c>
      <c r="C10" s="3">
        <f ca="1">1/[1]!fa_netturndays($A10,C$1)</f>
        <v>1.9987967243719283E-2</v>
      </c>
      <c r="D10" s="3">
        <f>1/[1]!fa_netturndays($A10,D$1)</f>
        <v>1.9987967243719283E-2</v>
      </c>
      <c r="E10" s="3">
        <f>1/[1]!fa_netturndays($A10,E$1)</f>
        <v>1.9414459889725868E-2</v>
      </c>
      <c r="F10" s="3">
        <f>1/[1]!fa_netturndays($A10,F$1)</f>
        <v>1.8801162663899133E-2</v>
      </c>
      <c r="G10" s="3">
        <f>1/[1]!fa_netturndays($A10,G$1)</f>
        <v>1.6935690103968202E-2</v>
      </c>
      <c r="H10" s="3">
        <f>1/[1]!fa_netturndays($A10,H$1)</f>
        <v>1.5468382625912635E-2</v>
      </c>
      <c r="I10" s="3">
        <f>1/[1]!fa_netturndays($A10,I$1)</f>
        <v>1.3148949990598501E-2</v>
      </c>
      <c r="J10" s="3">
        <f>1/[1]!fa_netturndays($A10,J$1)</f>
        <v>1.9202335003936481E-2</v>
      </c>
      <c r="K10" s="3">
        <f>1/[1]!fa_netturndays($A10,K$1)</f>
        <v>1.8557248182781469E-2</v>
      </c>
      <c r="L10" s="3">
        <f>1/[1]!fa_netturndays($A10,L$1)</f>
        <v>1.7797267763452956E-2</v>
      </c>
      <c r="M10" s="3">
        <f>1/[1]!fa_netturndays($A10,M$1)</f>
        <v>1.7189928077340925E-2</v>
      </c>
      <c r="N10" s="3">
        <f>1/[1]!fa_netturndays($A10,N$1)</f>
        <v>2.0142569104118956E-2</v>
      </c>
      <c r="O10" s="3">
        <f>1/[1]!fa_netturndays($A10,O$1)</f>
        <v>1.9921509253541046E-2</v>
      </c>
      <c r="P10" s="3">
        <f>1/[1]!fa_netturndays($A10,P$1)</f>
        <v>1.9563652299120417E-2</v>
      </c>
      <c r="Q10" s="3">
        <f>1/[1]!fa_netturndays($A10,Q$1)</f>
        <v>1.8300069906267043E-2</v>
      </c>
      <c r="R10" s="3">
        <f>1/[1]!fa_netturndays($A10,R$1)</f>
        <v>1.9423698854972953E-2</v>
      </c>
      <c r="S10" s="3">
        <f>1/[1]!fa_netturndays($A10,S$1)</f>
        <v>1.8467118372382053E-2</v>
      </c>
      <c r="T10" s="3">
        <f>1/[1]!fa_netturndays($A10,T$1)</f>
        <v>1.747710935602095E-2</v>
      </c>
      <c r="U10" s="3">
        <f>1/[1]!fa_netturndays($A10,U$1)</f>
        <v>1.6820631513789555E-2</v>
      </c>
      <c r="V10" s="3">
        <f>1/[1]!fa_netturndays($A10,V$1)</f>
        <v>1.7639670914299424E-2</v>
      </c>
      <c r="W10" s="3">
        <f>1/[1]!fa_netturndays($A10,W$1)</f>
        <v>1.6146011612211551E-2</v>
      </c>
      <c r="X10" s="3">
        <f>1/[1]!fa_netturndays($A10,X$1)</f>
        <v>1.5712202725124441E-2</v>
      </c>
      <c r="Y10" s="3">
        <f>1/[1]!fa_netturndays($A10,Y$1)</f>
        <v>1.5212758027392092E-2</v>
      </c>
    </row>
    <row r="11" spans="1:25">
      <c r="A11" s="8" t="s">
        <v>9</v>
      </c>
      <c r="B11" s="1" t="s">
        <v>52</v>
      </c>
      <c r="C11" s="3">
        <f ca="1">1/[1]!fa_netturndays($A11,C$1)</f>
        <v>9.7028407977287588E-3</v>
      </c>
      <c r="D11" s="3">
        <f>1/[1]!fa_netturndays($A11,D$1)</f>
        <v>9.7028407977287588E-3</v>
      </c>
      <c r="E11" s="3">
        <f>1/[1]!fa_netturndays($A11,E$1)</f>
        <v>9.0205243991654215E-3</v>
      </c>
      <c r="F11" s="3">
        <f>1/[1]!fa_netturndays($A11,F$1)</f>
        <v>9.6355637093836904E-3</v>
      </c>
      <c r="G11" s="3">
        <f>1/[1]!fa_netturndays($A11,G$1)</f>
        <v>8.2851482917266992E-3</v>
      </c>
      <c r="H11" s="3">
        <f>1/[1]!fa_netturndays($A11,H$1)</f>
        <v>8.0047195826659402E-3</v>
      </c>
      <c r="I11" s="3">
        <f>1/[1]!fa_netturndays($A11,I$1)</f>
        <v>6.5733038411100991E-3</v>
      </c>
      <c r="J11" s="3">
        <f>1/[1]!fa_netturndays($A11,J$1)</f>
        <v>9.0748466124051345E-3</v>
      </c>
      <c r="K11" s="3">
        <f>1/[1]!fa_netturndays($A11,K$1)</f>
        <v>7.5876506433189593E-3</v>
      </c>
      <c r="L11" s="3">
        <f>1/[1]!fa_netturndays($A11,L$1)</f>
        <v>7.9770325279455399E-3</v>
      </c>
      <c r="M11" s="3">
        <f>1/[1]!fa_netturndays($A11,M$1)</f>
        <v>7.5685731650183569E-3</v>
      </c>
      <c r="N11" s="3">
        <f>1/[1]!fa_netturndays($A11,N$1)</f>
        <v>8.6353474129794456E-3</v>
      </c>
      <c r="O11" s="3">
        <f>1/[1]!fa_netturndays($A11,O$1)</f>
        <v>7.8096994905733031E-3</v>
      </c>
      <c r="P11" s="3">
        <f>1/[1]!fa_netturndays($A11,P$1)</f>
        <v>7.8547067759413471E-3</v>
      </c>
      <c r="Q11" s="3">
        <f>1/[1]!fa_netturndays($A11,Q$1)</f>
        <v>6.9026546229148805E-3</v>
      </c>
      <c r="R11" s="3">
        <f>1/[1]!fa_netturndays($A11,R$1)</f>
        <v>8.0812847949818453E-3</v>
      </c>
      <c r="S11" s="3">
        <f>1/[1]!fa_netturndays($A11,S$1)</f>
        <v>7.171368454871296E-3</v>
      </c>
      <c r="T11" s="3">
        <f>1/[1]!fa_netturndays($A11,T$1)</f>
        <v>6.9942933560507977E-3</v>
      </c>
      <c r="U11" s="3">
        <f>1/[1]!fa_netturndays($A11,U$1)</f>
        <v>6.1623141214974175E-3</v>
      </c>
      <c r="V11" s="3">
        <f>1/[1]!fa_netturndays($A11,V$1)</f>
        <v>7.4703185567942176E-3</v>
      </c>
      <c r="W11" s="3">
        <f>1/[1]!fa_netturndays($A11,W$1)</f>
        <v>5.7246522416879485E-3</v>
      </c>
      <c r="X11" s="3">
        <f>1/[1]!fa_netturndays($A11,X$1)</f>
        <v>5.6475414557780566E-3</v>
      </c>
      <c r="Y11" s="3">
        <f>1/[1]!fa_netturndays($A11,Y$1)</f>
        <v>5.0565064596870025E-3</v>
      </c>
    </row>
    <row r="12" spans="1:25">
      <c r="A12" s="8" t="s">
        <v>10</v>
      </c>
      <c r="B12" s="1" t="s">
        <v>53</v>
      </c>
      <c r="C12" s="3">
        <f ca="1">1/[1]!fa_netturndays($A12,C$1)</f>
        <v>1.0001870349755403E-2</v>
      </c>
      <c r="D12" s="3">
        <f>1/[1]!fa_netturndays($A12,D$1)</f>
        <v>1.0001870349755403E-2</v>
      </c>
      <c r="E12" s="3">
        <f>1/[1]!fa_netturndays($A12,E$1)</f>
        <v>9.0090414740233299E-3</v>
      </c>
      <c r="F12" s="3">
        <f>1/[1]!fa_netturndays($A12,F$1)</f>
        <v>9.3950084320200689E-3</v>
      </c>
      <c r="G12" s="3">
        <f>1/[1]!fa_netturndays($A12,G$1)</f>
        <v>8.2602507646927139E-3</v>
      </c>
      <c r="H12" s="3">
        <f>1/[1]!fa_netturndays($A12,H$1)</f>
        <v>7.6910534589743835E-3</v>
      </c>
      <c r="I12" s="3">
        <f>1/[1]!fa_netturndays($A12,I$1)</f>
        <v>6.0177270202562711E-3</v>
      </c>
      <c r="J12" s="3">
        <f>1/[1]!fa_netturndays($A12,J$1)</f>
        <v>7.8998613574331761E-3</v>
      </c>
      <c r="K12" s="3">
        <f>1/[1]!fa_netturndays($A12,K$1)</f>
        <v>6.8512719043726869E-3</v>
      </c>
      <c r="L12" s="3">
        <f>1/[1]!fa_netturndays($A12,L$1)</f>
        <v>6.6671289209385186E-3</v>
      </c>
      <c r="M12" s="3">
        <f>1/[1]!fa_netturndays($A12,M$1)</f>
        <v>6.038341050333196E-3</v>
      </c>
      <c r="N12" s="3">
        <f>1/[1]!fa_netturndays($A12,N$1)</f>
        <v>7.2076799271159403E-3</v>
      </c>
      <c r="O12" s="3">
        <f>1/[1]!fa_netturndays($A12,O$1)</f>
        <v>6.265558164116271E-3</v>
      </c>
      <c r="P12" s="3">
        <f>1/[1]!fa_netturndays($A12,P$1)</f>
        <v>6.316249562599718E-3</v>
      </c>
      <c r="Q12" s="3">
        <f>1/[1]!fa_netturndays($A12,Q$1)</f>
        <v>5.1996564067046452E-3</v>
      </c>
      <c r="R12" s="3">
        <f>1/[1]!fa_netturndays($A12,R$1)</f>
        <v>6.745116872640052E-3</v>
      </c>
      <c r="S12" s="3">
        <f>1/[1]!fa_netturndays($A12,S$1)</f>
        <v>6.0102872075845012E-3</v>
      </c>
      <c r="T12" s="3">
        <f>1/[1]!fa_netturndays($A12,T$1)</f>
        <v>5.8299859497338612E-3</v>
      </c>
      <c r="U12" s="3">
        <f>1/[1]!fa_netturndays($A12,U$1)</f>
        <v>4.7452579451040091E-3</v>
      </c>
      <c r="V12" s="3">
        <f>1/[1]!fa_netturndays($A12,V$1)</f>
        <v>6.6376424686985375E-3</v>
      </c>
      <c r="W12" s="3">
        <f>1/[1]!fa_netturndays($A12,W$1)</f>
        <v>5.748008458769248E-3</v>
      </c>
      <c r="X12" s="3">
        <f>1/[1]!fa_netturndays($A12,X$1)</f>
        <v>5.847987415131083E-3</v>
      </c>
      <c r="Y12" s="3">
        <f>1/[1]!fa_netturndays($A12,Y$1)</f>
        <v>5.1535393993240612E-3</v>
      </c>
    </row>
    <row r="13" spans="1:25">
      <c r="A13" s="8" t="s">
        <v>11</v>
      </c>
      <c r="B13" s="1" t="s">
        <v>54</v>
      </c>
      <c r="C13" s="3">
        <f ca="1">1/[1]!fa_netturndays($A13,C$1)</f>
        <v>7.4663807540596584E-3</v>
      </c>
      <c r="D13" s="3">
        <f>1/[1]!fa_netturndays($A13,D$1)</f>
        <v>7.4663807540596584E-3</v>
      </c>
      <c r="E13" s="3">
        <f>1/[1]!fa_netturndays($A13,E$1)</f>
        <v>6.6991530930659744E-3</v>
      </c>
      <c r="F13" s="3">
        <f>1/[1]!fa_netturndays($A13,F$1)</f>
        <v>9.2956586485413717E-3</v>
      </c>
      <c r="G13" s="3">
        <f>1/[1]!fa_netturndays($A13,G$1)</f>
        <v>6.4030898750501043E-3</v>
      </c>
      <c r="H13" s="3">
        <f>1/[1]!fa_netturndays($A13,H$1)</f>
        <v>6.3921494177710701E-3</v>
      </c>
      <c r="I13" s="3">
        <f>1/[1]!fa_netturndays($A13,I$1)</f>
        <v>5.286865311819316E-3</v>
      </c>
      <c r="J13" s="3">
        <f>1/[1]!fa_netturndays($A13,J$1)</f>
        <v>8.6374955408929279E-3</v>
      </c>
      <c r="K13" s="3">
        <f>1/[1]!fa_netturndays($A13,K$1)</f>
        <v>6.3295746209376001E-3</v>
      </c>
      <c r="L13" s="3">
        <f>1/[1]!fa_netturndays($A13,L$1)</f>
        <v>6.5751104454177074E-3</v>
      </c>
      <c r="M13" s="3">
        <f>1/[1]!fa_netturndays($A13,M$1)</f>
        <v>5.7596752464709024E-3</v>
      </c>
      <c r="N13" s="3">
        <f>1/[1]!fa_netturndays($A13,N$1)</f>
        <v>8.5912498120664111E-3</v>
      </c>
      <c r="O13" s="3">
        <f>1/[1]!fa_netturndays($A13,O$1)</f>
        <v>6.9384263232793227E-3</v>
      </c>
      <c r="P13" s="3">
        <f>1/[1]!fa_netturndays($A13,P$1)</f>
        <v>6.8799354937248104E-3</v>
      </c>
      <c r="Q13" s="3">
        <f>1/[1]!fa_netturndays($A13,Q$1)</f>
        <v>5.7009975035331928E-3</v>
      </c>
      <c r="R13" s="3">
        <f>1/[1]!fa_netturndays($A13,R$1)</f>
        <v>9.1813706317333873E-3</v>
      </c>
      <c r="S13" s="3">
        <f>1/[1]!fa_netturndays($A13,S$1)</f>
        <v>6.5952402151367353E-3</v>
      </c>
      <c r="T13" s="3">
        <f>1/[1]!fa_netturndays($A13,T$1)</f>
        <v>6.915108058936084E-3</v>
      </c>
      <c r="U13" s="3">
        <f>1/[1]!fa_netturndays($A13,U$1)</f>
        <v>6.4740716666785358E-3</v>
      </c>
      <c r="V13" s="3">
        <f>1/[1]!fa_netturndays($A13,V$1)</f>
        <v>9.1817584169179393E-3</v>
      </c>
      <c r="W13" s="3">
        <f>1/[1]!fa_netturndays($A13,W$1)</f>
        <v>6.8711427122599049E-3</v>
      </c>
      <c r="X13" s="3">
        <f>1/[1]!fa_netturndays($A13,X$1)</f>
        <v>7.0330313349678091E-3</v>
      </c>
      <c r="Y13" s="3">
        <f>1/[1]!fa_netturndays($A13,Y$1)</f>
        <v>6.0947737315252175E-3</v>
      </c>
    </row>
    <row r="14" spans="1:25">
      <c r="A14" s="8" t="s">
        <v>12</v>
      </c>
      <c r="B14" s="1" t="s">
        <v>55</v>
      </c>
      <c r="C14" s="3">
        <f ca="1">1/[1]!fa_netturndays($A14,C$1)</f>
        <v>2.5267328333771301E-2</v>
      </c>
      <c r="D14" s="3">
        <f>1/[1]!fa_netturndays($A14,D$1)</f>
        <v>2.5267328333771301E-2</v>
      </c>
      <c r="E14" s="3">
        <f>1/[1]!fa_netturndays($A14,E$1)</f>
        <v>2.5020266415796796E-2</v>
      </c>
      <c r="F14" s="3">
        <f>1/[1]!fa_netturndays($A14,F$1)</f>
        <v>2.2593049474259736E-2</v>
      </c>
      <c r="G14" s="3">
        <f>1/[1]!fa_netturndays($A14,G$1)</f>
        <v>1.9831472149672087E-2</v>
      </c>
      <c r="H14" s="3">
        <f>1/[1]!fa_netturndays($A14,H$1)</f>
        <v>1.8297993807958896E-2</v>
      </c>
      <c r="I14" s="3">
        <f>1/[1]!fa_netturndays($A14,I$1)</f>
        <v>1.4840053899075762E-2</v>
      </c>
      <c r="J14" s="3">
        <f>1/[1]!fa_netturndays($A14,J$1)</f>
        <v>2.2611491612267189E-2</v>
      </c>
      <c r="K14" s="3">
        <f>1/[1]!fa_netturndays($A14,K$1)</f>
        <v>2.0144963154862389E-2</v>
      </c>
      <c r="L14" s="3">
        <f>1/[1]!fa_netturndays($A14,L$1)</f>
        <v>1.9977944349438219E-2</v>
      </c>
      <c r="M14" s="3">
        <f>1/[1]!fa_netturndays($A14,M$1)</f>
        <v>1.9663131235670494E-2</v>
      </c>
      <c r="N14" s="3">
        <f>1/[1]!fa_netturndays($A14,N$1)</f>
        <v>2.3842278558877314E-2</v>
      </c>
      <c r="O14" s="3">
        <f>1/[1]!fa_netturndays($A14,O$1)</f>
        <v>2.3032611875154031E-2</v>
      </c>
      <c r="P14" s="3">
        <f>1/[1]!fa_netturndays($A14,P$1)</f>
        <v>2.3432648709446873E-2</v>
      </c>
      <c r="Q14" s="3">
        <f>1/[1]!fa_netturndays($A14,Q$1)</f>
        <v>2.3263929277654995E-2</v>
      </c>
      <c r="R14" s="3">
        <f>1/[1]!fa_netturndays($A14,R$1)</f>
        <v>2.8636966314336525E-2</v>
      </c>
      <c r="S14" s="3">
        <f>1/[1]!fa_netturndays($A14,S$1)</f>
        <v>2.6185207976014348E-2</v>
      </c>
      <c r="T14" s="3">
        <f>1/[1]!fa_netturndays($A14,T$1)</f>
        <v>2.6595815414402698E-2</v>
      </c>
      <c r="U14" s="3">
        <f>1/[1]!fa_netturndays($A14,U$1)</f>
        <v>2.6211907545359708E-2</v>
      </c>
      <c r="V14" s="3">
        <f>1/[1]!fa_netturndays($A14,V$1)</f>
        <v>2.8285422541784639E-2</v>
      </c>
      <c r="W14" s="3">
        <f>1/[1]!fa_netturndays($A14,W$1)</f>
        <v>2.6051639559935703E-2</v>
      </c>
      <c r="X14" s="3">
        <f>1/[1]!fa_netturndays($A14,X$1)</f>
        <v>2.6762368897845359E-2</v>
      </c>
      <c r="Y14" s="3">
        <f>1/[1]!fa_netturndays($A14,Y$1)</f>
        <v>2.7401689588180005E-2</v>
      </c>
    </row>
    <row r="15" spans="1:25">
      <c r="A15" s="8" t="s">
        <v>13</v>
      </c>
      <c r="B15" s="1" t="s">
        <v>56</v>
      </c>
      <c r="C15" s="3">
        <f ca="1">1/[1]!fa_netturndays($A15,C$1)</f>
        <v>7.9027019337911633E-2</v>
      </c>
      <c r="D15" s="3">
        <f>1/[1]!fa_netturndays($A15,D$1)</f>
        <v>7.9027019337911633E-2</v>
      </c>
      <c r="E15" s="3">
        <f>1/[1]!fa_netturndays($A15,E$1)</f>
        <v>7.5768481826929635E-2</v>
      </c>
      <c r="F15" s="3">
        <f>1/[1]!fa_netturndays($A15,F$1)</f>
        <v>7.4076268926486721E-2</v>
      </c>
      <c r="G15" s="3">
        <f>1/[1]!fa_netturndays($A15,G$1)</f>
        <v>6.6590753208009543E-2</v>
      </c>
      <c r="H15" s="3">
        <f>1/[1]!fa_netturndays($A15,H$1)</f>
        <v>6.7589945319734238E-2</v>
      </c>
      <c r="I15" s="3">
        <f>1/[1]!fa_netturndays($A15,I$1)</f>
        <v>6.3089890475950136E-2</v>
      </c>
      <c r="J15" s="3">
        <f>1/[1]!fa_netturndays($A15,J$1)</f>
        <v>8.6287977496095472E-2</v>
      </c>
      <c r="K15" s="3">
        <f>1/[1]!fa_netturndays($A15,K$1)</f>
        <v>7.472501195600191E-2</v>
      </c>
      <c r="L15" s="3">
        <f>1/[1]!fa_netturndays($A15,L$1)</f>
        <v>7.7730275942479596E-2</v>
      </c>
      <c r="M15" s="3">
        <f>1/[1]!fa_netturndays($A15,M$1)</f>
        <v>8.1950419995902482E-2</v>
      </c>
      <c r="N15" s="3">
        <f>1/[1]!fa_netturndays($A15,N$1)</f>
        <v>8.5102037342773981E-2</v>
      </c>
      <c r="O15" s="3">
        <f>1/[1]!fa_netturndays($A15,O$1)</f>
        <v>7.4068038900534039E-2</v>
      </c>
      <c r="P15" s="3">
        <f>1/[1]!fa_netturndays($A15,P$1)</f>
        <v>8.3371545291591978E-2</v>
      </c>
      <c r="Q15" s="3">
        <f>1/[1]!fa_netturndays($A15,Q$1)</f>
        <v>8.4656084656084651E-2</v>
      </c>
      <c r="R15" s="3">
        <f>1/[1]!fa_netturndays($A15,R$1)</f>
        <v>0.1199270843327257</v>
      </c>
      <c r="S15" s="3">
        <f>1/[1]!fa_netturndays($A15,S$1)</f>
        <v>0.10100908071635641</v>
      </c>
      <c r="T15" s="3">
        <f>1/[1]!fa_netturndays($A15,T$1)</f>
        <v>0.10844457939769882</v>
      </c>
      <c r="U15" s="3">
        <f>1/[1]!fa_netturndays($A15,U$1)</f>
        <v>0.11010548105084671</v>
      </c>
      <c r="V15" s="3">
        <f>1/[1]!fa_netturndays($A15,V$1)</f>
        <v>9.84697796246332E-2</v>
      </c>
      <c r="W15" s="3">
        <f>1/[1]!fa_netturndays($A15,W$1)</f>
        <v>9.0007380605209616E-2</v>
      </c>
      <c r="X15" s="3">
        <f>1/[1]!fa_netturndays($A15,X$1)</f>
        <v>0.10080848404201698</v>
      </c>
      <c r="Y15" s="3">
        <f>1/[1]!fa_netturndays($A15,Y$1)</f>
        <v>0.10514694285263655</v>
      </c>
    </row>
    <row r="16" spans="1:25">
      <c r="A16" s="8" t="s">
        <v>14</v>
      </c>
      <c r="B16" s="1" t="s">
        <v>57</v>
      </c>
      <c r="C16" s="3">
        <f ca="1">1/[1]!fa_netturndays($A16,C$1)</f>
        <v>4.719630358550319E-2</v>
      </c>
      <c r="D16" s="3">
        <f>1/[1]!fa_netturndays($A16,D$1)</f>
        <v>4.719630358550319E-2</v>
      </c>
      <c r="E16" s="3">
        <f>1/[1]!fa_netturndays($A16,E$1)</f>
        <v>4.5479766052083426E-2</v>
      </c>
      <c r="F16" s="3">
        <f>1/[1]!fa_netturndays($A16,F$1)</f>
        <v>3.7889695518406818E-2</v>
      </c>
      <c r="G16" s="3">
        <f>1/[1]!fa_netturndays($A16,G$1)</f>
        <v>3.2673652293527027E-2</v>
      </c>
      <c r="H16" s="3">
        <f>1/[1]!fa_netturndays($A16,H$1)</f>
        <v>2.7367343643523927E-2</v>
      </c>
      <c r="I16" s="3">
        <f>1/[1]!fa_netturndays($A16,I$1)</f>
        <v>2.3801023444008092E-2</v>
      </c>
      <c r="J16" s="3">
        <f>1/[1]!fa_netturndays($A16,J$1)</f>
        <v>4.2756786570948474E-2</v>
      </c>
      <c r="K16" s="3">
        <f>1/[1]!fa_netturndays($A16,K$1)</f>
        <v>4.1083115250463209E-2</v>
      </c>
      <c r="L16" s="3">
        <f>1/[1]!fa_netturndays($A16,L$1)</f>
        <v>3.9640539587024855E-2</v>
      </c>
      <c r="M16" s="3">
        <f>1/[1]!fa_netturndays($A16,M$1)</f>
        <v>4.0532598342216723E-2</v>
      </c>
      <c r="N16" s="3">
        <f>1/[1]!fa_netturndays($A16,N$1)</f>
        <v>4.5665228211977993E-2</v>
      </c>
      <c r="O16" s="3">
        <f>1/[1]!fa_netturndays($A16,O$1)</f>
        <v>3.7796608888250545E-2</v>
      </c>
      <c r="P16" s="3">
        <f>1/[1]!fa_netturndays($A16,P$1)</f>
        <v>3.561672133833392E-2</v>
      </c>
      <c r="Q16" s="3">
        <f>1/[1]!fa_netturndays($A16,Q$1)</f>
        <v>3.2066698733365401E-2</v>
      </c>
      <c r="R16" s="3">
        <f>1/[1]!fa_netturndays($A16,R$1)</f>
        <v>3.4165490804358149E-2</v>
      </c>
      <c r="S16" s="3">
        <f>1/[1]!fa_netturndays($A16,S$1)</f>
        <v>3.3809483560138617E-2</v>
      </c>
      <c r="T16" s="3">
        <f>1/[1]!fa_netturndays($A16,T$1)</f>
        <v>3.1864182110173597E-2</v>
      </c>
      <c r="U16" s="3">
        <f>1/[1]!fa_netturndays($A16,U$1)</f>
        <v>3.1525354266168565E-2</v>
      </c>
      <c r="V16" s="3">
        <f>1/[1]!fa_netturndays($A16,V$1)</f>
        <v>3.9230147583815211E-2</v>
      </c>
      <c r="W16" s="3">
        <f>1/[1]!fa_netturndays($A16,W$1)</f>
        <v>3.6268152210181197E-2</v>
      </c>
      <c r="X16" s="3">
        <f>1/[1]!fa_netturndays($A16,X$1)</f>
        <v>3.6866903106405252E-2</v>
      </c>
      <c r="Y16" s="3">
        <f>1/[1]!fa_netturndays($A16,Y$1)</f>
        <v>3.7705684508996577E-2</v>
      </c>
    </row>
    <row r="17" spans="1:25">
      <c r="A17" s="8" t="s">
        <v>15</v>
      </c>
      <c r="B17" s="1" t="s">
        <v>58</v>
      </c>
      <c r="C17" s="3">
        <f ca="1">1/[1]!fa_netturndays($A17,C$1)</f>
        <v>2.7910196152858561E-2</v>
      </c>
      <c r="D17" s="3">
        <f>1/[1]!fa_netturndays($A17,D$1)</f>
        <v>2.7910196152858561E-2</v>
      </c>
      <c r="E17" s="3">
        <f>1/[1]!fa_netturndays($A17,E$1)</f>
        <v>2.6762297275598139E-2</v>
      </c>
      <c r="F17" s="3">
        <f>1/[1]!fa_netturndays($A17,F$1)</f>
        <v>2.9294414726888169E-2</v>
      </c>
      <c r="G17" s="3">
        <f>1/[1]!fa_netturndays($A17,G$1)</f>
        <v>2.7276496388591878E-2</v>
      </c>
      <c r="H17" s="3">
        <f>1/[1]!fa_netturndays($A17,H$1)</f>
        <v>2.4842313415594511E-2</v>
      </c>
      <c r="I17" s="3">
        <f>1/[1]!fa_netturndays($A17,I$1)</f>
        <v>2.1655380604141808E-2</v>
      </c>
      <c r="J17" s="3">
        <f>1/[1]!fa_netturndays($A17,J$1)</f>
        <v>3.0631624088709182E-2</v>
      </c>
      <c r="K17" s="3">
        <f>1/[1]!fa_netturndays($A17,K$1)</f>
        <v>2.8423544927676292E-2</v>
      </c>
      <c r="L17" s="3">
        <f>1/[1]!fa_netturndays($A17,L$1)</f>
        <v>2.722963019439233E-2</v>
      </c>
      <c r="M17" s="3">
        <f>1/[1]!fa_netturndays($A17,M$1)</f>
        <v>2.0861626914836579E-2</v>
      </c>
      <c r="N17" s="3">
        <f>1/[1]!fa_netturndays($A17,N$1)</f>
        <v>2.9180807199488751E-2</v>
      </c>
      <c r="O17" s="3">
        <f>1/[1]!fa_netturndays($A17,O$1)</f>
        <v>2.7664813124187348E-2</v>
      </c>
      <c r="P17" s="3">
        <f>1/[1]!fa_netturndays($A17,P$1)</f>
        <v>2.7175537668012759E-2</v>
      </c>
      <c r="Q17" s="3">
        <f>1/[1]!fa_netturndays($A17,Q$1)</f>
        <v>2.5652865425067981E-2</v>
      </c>
      <c r="R17" s="3">
        <f>1/[1]!fa_netturndays($A17,R$1)</f>
        <v>2.958649908873583E-2</v>
      </c>
      <c r="S17" s="3">
        <f>1/[1]!fa_netturndays($A17,S$1)</f>
        <v>2.8900481193011862E-2</v>
      </c>
      <c r="T17" s="3">
        <f>1/[1]!fa_netturndays($A17,T$1)</f>
        <v>2.7629499463987711E-2</v>
      </c>
      <c r="U17" s="3">
        <f>1/[1]!fa_netturndays($A17,U$1)</f>
        <v>2.7636448053150416E-2</v>
      </c>
      <c r="V17" s="3">
        <f>1/[1]!fa_netturndays($A17,V$1)</f>
        <v>2.7346388499202852E-2</v>
      </c>
      <c r="W17" s="3">
        <f>1/[1]!fa_netturndays($A17,W$1)</f>
        <v>2.6124393914061194E-2</v>
      </c>
      <c r="X17" s="3">
        <f>1/[1]!fa_netturndays($A17,X$1)</f>
        <v>2.4266190402236373E-2</v>
      </c>
      <c r="Y17" s="3">
        <f>1/[1]!fa_netturndays($A17,Y$1)</f>
        <v>2.5459026243164252E-2</v>
      </c>
    </row>
    <row r="18" spans="1:25">
      <c r="A18" s="8" t="s">
        <v>16</v>
      </c>
      <c r="B18" s="1" t="s">
        <v>59</v>
      </c>
      <c r="C18" s="3">
        <f ca="1">1/[1]!fa_netturndays($A18,C$1)</f>
        <v>1.6073785103137443E-2</v>
      </c>
      <c r="D18" s="3">
        <f>1/[1]!fa_netturndays($A18,D$1)</f>
        <v>1.6073785103137443E-2</v>
      </c>
      <c r="E18" s="3">
        <f>1/[1]!fa_netturndays($A18,E$1)</f>
        <v>1.6393442622950821E-2</v>
      </c>
      <c r="F18" s="3">
        <f>1/[1]!fa_netturndays($A18,F$1)</f>
        <v>1.5001792714229351E-2</v>
      </c>
      <c r="G18" s="3">
        <f>1/[1]!fa_netturndays($A18,G$1)</f>
        <v>1.4355894099440408E-2</v>
      </c>
      <c r="H18" s="3">
        <f>1/[1]!fa_netturndays($A18,H$1)</f>
        <v>1.3412269007197023E-2</v>
      </c>
      <c r="I18" s="3">
        <f>1/[1]!fa_netturndays($A18,I$1)</f>
        <v>1.2063351898831905E-2</v>
      </c>
      <c r="J18" s="3">
        <f>1/[1]!fa_netturndays($A18,J$1)</f>
        <v>1.6272889853690447E-2</v>
      </c>
      <c r="K18" s="3">
        <f>1/[1]!fa_netturndays($A18,K$1)</f>
        <v>1.5401794309037004E-2</v>
      </c>
      <c r="L18" s="3">
        <f>1/[1]!fa_netturndays($A18,L$1)</f>
        <v>1.585675640533675E-2</v>
      </c>
      <c r="M18" s="3">
        <f>1/[1]!fa_netturndays($A18,M$1)</f>
        <v>1.6077635687206382E-2</v>
      </c>
      <c r="N18" s="3">
        <f>1/[1]!fa_netturndays($A18,N$1)</f>
        <v>2.3246299189169085E-2</v>
      </c>
      <c r="O18" s="3">
        <f>1/[1]!fa_netturndays($A18,O$1)</f>
        <v>2.2162383786000023E-2</v>
      </c>
      <c r="P18" s="3">
        <f>1/[1]!fa_netturndays($A18,P$1)</f>
        <v>2.2548676956379583E-2</v>
      </c>
      <c r="Q18" s="3">
        <f>1/[1]!fa_netturndays($A18,Q$1)</f>
        <v>2.2339629385548492E-2</v>
      </c>
      <c r="R18" s="3">
        <f>1/[1]!fa_netturndays($A18,R$1)</f>
        <v>2.4626599189784888E-2</v>
      </c>
      <c r="S18" s="3">
        <f>1/[1]!fa_netturndays($A18,S$1)</f>
        <v>2.3234956527396336E-2</v>
      </c>
      <c r="T18" s="3">
        <f>1/[1]!fa_netturndays($A18,T$1)</f>
        <v>2.4335992446107943E-2</v>
      </c>
      <c r="U18" s="3">
        <f>1/[1]!fa_netturndays($A18,U$1)</f>
        <v>2.4296554019743382E-2</v>
      </c>
      <c r="V18" s="3">
        <f>1/[1]!fa_netturndays($A18,V$1)</f>
        <v>2.5907675407916352E-2</v>
      </c>
      <c r="W18" s="3">
        <f>1/[1]!fa_netturndays($A18,W$1)</f>
        <v>2.3206486677156E-2</v>
      </c>
      <c r="X18" s="3">
        <f>1/[1]!fa_netturndays($A18,X$1)</f>
        <v>2.2724845300615616E-2</v>
      </c>
      <c r="Y18" s="3">
        <f>1/[1]!fa_netturndays($A18,Y$1)</f>
        <v>2.3086850422604797E-2</v>
      </c>
    </row>
    <row r="19" spans="1:25">
      <c r="A19" s="8" t="s">
        <v>17</v>
      </c>
      <c r="B19" s="1" t="s">
        <v>60</v>
      </c>
      <c r="C19" s="3">
        <f ca="1">1/[1]!fa_netturndays($A19,C$1)</f>
        <v>1.2430482526470712E-2</v>
      </c>
      <c r="D19" s="3">
        <f>1/[1]!fa_netturndays($A19,D$1)</f>
        <v>1.2430482526470712E-2</v>
      </c>
      <c r="E19" s="3">
        <f>1/[1]!fa_netturndays($A19,E$1)</f>
        <v>1.2508192866327445E-2</v>
      </c>
      <c r="F19" s="3">
        <f>1/[1]!fa_netturndays($A19,F$1)</f>
        <v>1.2264957422200308E-2</v>
      </c>
      <c r="G19" s="3">
        <f>1/[1]!fa_netturndays($A19,G$1)</f>
        <v>1.1112370513102595E-2</v>
      </c>
      <c r="H19" s="3">
        <f>1/[1]!fa_netturndays($A19,H$1)</f>
        <v>1.101083906998049E-2</v>
      </c>
      <c r="I19" s="3">
        <f>1/[1]!fa_netturndays($A19,I$1)</f>
        <v>1.029897937114432E-2</v>
      </c>
      <c r="J19" s="3">
        <f>1/[1]!fa_netturndays($A19,J$1)</f>
        <v>1.1994506516015664E-2</v>
      </c>
      <c r="K19" s="3">
        <f>1/[1]!fa_netturndays($A19,K$1)</f>
        <v>1.1335580801153509E-2</v>
      </c>
      <c r="L19" s="3">
        <f>1/[1]!fa_netturndays($A19,L$1)</f>
        <v>1.1469047335052163E-2</v>
      </c>
      <c r="M19" s="3">
        <f>1/[1]!fa_netturndays($A19,M$1)</f>
        <v>1.1429851571947487E-2</v>
      </c>
      <c r="N19" s="3">
        <f>1/[1]!fa_netturndays($A19,N$1)</f>
        <v>1.2458947767107383E-2</v>
      </c>
      <c r="O19" s="3">
        <f>1/[1]!fa_netturndays($A19,O$1)</f>
        <v>1.1974972307876539E-2</v>
      </c>
      <c r="P19" s="3">
        <f>1/[1]!fa_netturndays($A19,P$1)</f>
        <v>1.2065549718510725E-2</v>
      </c>
      <c r="Q19" s="3">
        <f>1/[1]!fa_netturndays($A19,Q$1)</f>
        <v>1.2326337315151164E-2</v>
      </c>
      <c r="R19" s="3">
        <f>1/[1]!fa_netturndays($A19,R$1)</f>
        <v>1.3129045387109904E-2</v>
      </c>
      <c r="S19" s="3">
        <f>1/[1]!fa_netturndays($A19,S$1)</f>
        <v>1.238334885379723E-2</v>
      </c>
      <c r="T19" s="3">
        <f>1/[1]!fa_netturndays($A19,T$1)</f>
        <v>1.2783212063261561E-2</v>
      </c>
      <c r="U19" s="3">
        <f>1/[1]!fa_netturndays($A19,U$1)</f>
        <v>1.2783408158882424E-2</v>
      </c>
      <c r="V19" s="3">
        <f>1/[1]!fa_netturndays($A19,V$1)</f>
        <v>1.4320369580098122E-2</v>
      </c>
      <c r="W19" s="3">
        <f>1/[1]!fa_netturndays($A19,W$1)</f>
        <v>1.3023767072530661E-2</v>
      </c>
      <c r="X19" s="3">
        <f>1/[1]!fa_netturndays($A19,X$1)</f>
        <v>1.3447113845955243E-2</v>
      </c>
      <c r="Y19" s="3">
        <f>1/[1]!fa_netturndays($A19,Y$1)</f>
        <v>1.4734788541049646E-2</v>
      </c>
    </row>
    <row r="20" spans="1:25">
      <c r="A20" s="8" t="s">
        <v>18</v>
      </c>
      <c r="B20" s="1" t="s">
        <v>61</v>
      </c>
      <c r="C20" s="3">
        <f ca="1">1/[1]!fa_netturndays($A20,C$1)</f>
        <v>0.10101112132445782</v>
      </c>
      <c r="D20" s="3">
        <f>1/[1]!fa_netturndays($A20,D$1)</f>
        <v>0.10101112132445782</v>
      </c>
      <c r="E20" s="3">
        <f>1/[1]!fa_netturndays($A20,E$1)</f>
        <v>0.11142806204314495</v>
      </c>
      <c r="F20" s="3">
        <f>1/[1]!fa_netturndays($A20,F$1)</f>
        <v>9.8034410077937353E-2</v>
      </c>
      <c r="G20" s="3">
        <f>1/[1]!fa_netturndays($A20,G$1)</f>
        <v>9.0906611637864426E-2</v>
      </c>
      <c r="H20" s="3">
        <f>1/[1]!fa_netturndays($A20,H$1)</f>
        <v>9.0399566082082813E-2</v>
      </c>
      <c r="I20" s="3">
        <f>1/[1]!fa_netturndays($A20,I$1)</f>
        <v>9.142689962240691E-2</v>
      </c>
      <c r="J20" s="3">
        <f>1/[1]!fa_netturndays($A20,J$1)</f>
        <v>9.0863659079551143E-2</v>
      </c>
      <c r="K20" s="3">
        <f>1/[1]!fa_netturndays($A20,K$1)</f>
        <v>8.1923565313562444E-2</v>
      </c>
      <c r="L20" s="3">
        <f>1/[1]!fa_netturndays($A20,L$1)</f>
        <v>8.1484982317758844E-2</v>
      </c>
      <c r="M20" s="3">
        <f>1/[1]!fa_netturndays($A20,M$1)</f>
        <v>8.7743158227237231E-2</v>
      </c>
      <c r="N20" s="3">
        <f>1/[1]!fa_netturndays($A20,N$1)</f>
        <v>8.4937952825460988E-2</v>
      </c>
      <c r="O20" s="3">
        <f>1/[1]!fa_netturndays($A20,O$1)</f>
        <v>7.5450628880991716E-2</v>
      </c>
      <c r="P20" s="3">
        <f>1/[1]!fa_netturndays($A20,P$1)</f>
        <v>8.524204478617034E-2</v>
      </c>
      <c r="Q20" s="3">
        <f>1/[1]!fa_netturndays($A20,Q$1)</f>
        <v>9.0919009346474164E-2</v>
      </c>
      <c r="R20" s="3">
        <f>1/[1]!fa_netturndays($A20,R$1)</f>
        <v>8.3064067315120158E-2</v>
      </c>
      <c r="S20" s="3">
        <f>1/[1]!fa_netturndays($A20,S$1)</f>
        <v>8.5125219197439428E-2</v>
      </c>
      <c r="T20" s="3">
        <f>1/[1]!fa_netturndays($A20,T$1)</f>
        <v>8.4819080900439367E-2</v>
      </c>
      <c r="U20" s="3">
        <f>1/[1]!fa_netturndays($A20,U$1)</f>
        <v>9.1462020396030547E-2</v>
      </c>
      <c r="V20" s="3">
        <f>1/[1]!fa_netturndays($A20,V$1)</f>
        <v>7.4068038900534039E-2</v>
      </c>
      <c r="W20" s="3">
        <f>1/[1]!fa_netturndays($A20,W$1)</f>
        <v>8.3090984628167844E-2</v>
      </c>
      <c r="X20" s="3">
        <f>1/[1]!fa_netturndays($A20,X$1)</f>
        <v>8.4405992825490606E-2</v>
      </c>
      <c r="Y20" s="3">
        <f>1/[1]!fa_netturndays($A20,Y$1)</f>
        <v>9.7649574736102016E-2</v>
      </c>
    </row>
    <row r="21" spans="1:25">
      <c r="A21" s="8" t="s">
        <v>19</v>
      </c>
      <c r="B21" s="1" t="s">
        <v>62</v>
      </c>
      <c r="C21" s="3">
        <f ca="1">1/[1]!fa_netturndays($A21,C$1)</f>
        <v>8.3277814790139917E-2</v>
      </c>
      <c r="D21" s="3">
        <f>1/[1]!fa_netturndays($A21,D$1)</f>
        <v>8.3277814790139917E-2</v>
      </c>
      <c r="E21" s="3">
        <f>1/[1]!fa_netturndays($A21,E$1)</f>
        <v>8.1696009149953022E-2</v>
      </c>
      <c r="F21" s="3">
        <f>1/[1]!fa_netturndays($A21,F$1)</f>
        <v>8.4189966239823541E-2</v>
      </c>
      <c r="G21" s="3">
        <f>1/[1]!fa_netturndays($A21,G$1)</f>
        <v>6.2597025389353494E-2</v>
      </c>
      <c r="H21" s="3">
        <f>1/[1]!fa_netturndays($A21,H$1)</f>
        <v>6.0091820301420566E-2</v>
      </c>
      <c r="I21" s="3">
        <f>1/[1]!fa_netturndays($A21,I$1)</f>
        <v>4.9736149725705128E-2</v>
      </c>
      <c r="J21" s="3">
        <f>1/[1]!fa_netturndays($A21,J$1)</f>
        <v>5.7447492991405856E-2</v>
      </c>
      <c r="K21" s="3">
        <f>1/[1]!fa_netturndays($A21,K$1)</f>
        <v>4.4127121411361853E-2</v>
      </c>
      <c r="L21" s="3">
        <f>1/[1]!fa_netturndays($A21,L$1)</f>
        <v>4.1446482229820739E-2</v>
      </c>
      <c r="M21" s="3">
        <f>1/[1]!fa_netturndays($A21,M$1)</f>
        <v>3.8445273153665756E-2</v>
      </c>
      <c r="N21" s="3">
        <f>1/[1]!fa_netturndays($A21,N$1)</f>
        <v>4.8809297194929692E-2</v>
      </c>
      <c r="O21" s="3">
        <f>1/[1]!fa_netturndays($A21,O$1)</f>
        <v>4.2010275713439509E-2</v>
      </c>
      <c r="P21" s="3">
        <f>1/[1]!fa_netturndays($A21,P$1)</f>
        <v>4.2177364252153154E-2</v>
      </c>
      <c r="Q21" s="3">
        <f>1/[1]!fa_netturndays($A21,Q$1)</f>
        <v>4.0151290060949661E-2</v>
      </c>
      <c r="R21" s="3">
        <f>1/[1]!fa_netturndays($A21,R$1)</f>
        <v>5.2058930709563224E-2</v>
      </c>
      <c r="S21" s="3">
        <f>1/[1]!fa_netturndays($A21,S$1)</f>
        <v>4.6486114597569704E-2</v>
      </c>
      <c r="T21" s="3">
        <f>1/[1]!fa_netturndays($A21,T$1)</f>
        <v>4.6077853140666467E-2</v>
      </c>
      <c r="U21" s="3">
        <f>1/[1]!fa_netturndays($A21,U$1)</f>
        <v>4.3749316416930979E-2</v>
      </c>
      <c r="V21" s="3">
        <f>1/[1]!fa_netturndays($A21,V$1)</f>
        <v>4.3893917180957066E-2</v>
      </c>
      <c r="W21" s="3">
        <f>1/[1]!fa_netturndays($A21,W$1)</f>
        <v>3.8080441123829974E-2</v>
      </c>
      <c r="X21" s="3">
        <f>1/[1]!fa_netturndays($A21,X$1)</f>
        <v>3.7592854350245106E-2</v>
      </c>
      <c r="Y21" s="3">
        <f>1/[1]!fa_netturndays($A21,Y$1)</f>
        <v>3.0723948396056276E-2</v>
      </c>
    </row>
    <row r="22" spans="1:25">
      <c r="A22" s="8" t="s">
        <v>20</v>
      </c>
      <c r="B22" s="1" t="s">
        <v>63</v>
      </c>
      <c r="C22" s="3" t="e">
        <f ca="1">1/[1]!fa_netturndays($A22,C$1)</f>
        <v>#VALUE!</v>
      </c>
      <c r="D22" s="3" t="e">
        <f>1/[1]!fa_netturndays($A22,D$1)</f>
        <v>#VALUE!</v>
      </c>
      <c r="E22" s="3" t="e">
        <f>1/[1]!fa_netturndays($A22,E$1)</f>
        <v>#VALUE!</v>
      </c>
      <c r="F22" s="3" t="e">
        <f>1/[1]!fa_netturndays($A22,F$1)</f>
        <v>#VALUE!</v>
      </c>
      <c r="G22" s="3" t="e">
        <f>1/[1]!fa_netturndays($A22,G$1)</f>
        <v>#VALUE!</v>
      </c>
      <c r="H22" s="3" t="e">
        <f>1/[1]!fa_netturndays($A22,H$1)</f>
        <v>#VALUE!</v>
      </c>
      <c r="I22" s="3" t="e">
        <f>1/[1]!fa_netturndays($A22,I$1)</f>
        <v>#VALUE!</v>
      </c>
      <c r="J22" s="3" t="e">
        <f>1/[1]!fa_netturndays($A22,J$1)</f>
        <v>#VALUE!</v>
      </c>
      <c r="K22" s="3" t="e">
        <f>1/[1]!fa_netturndays($A22,K$1)</f>
        <v>#VALUE!</v>
      </c>
      <c r="L22" s="3" t="e">
        <f>1/[1]!fa_netturndays($A22,L$1)</f>
        <v>#VALUE!</v>
      </c>
      <c r="M22" s="3" t="e">
        <f>1/[1]!fa_netturndays($A22,M$1)</f>
        <v>#VALUE!</v>
      </c>
      <c r="N22" s="3" t="e">
        <f>1/[1]!fa_netturndays($A22,N$1)</f>
        <v>#VALUE!</v>
      </c>
      <c r="O22" s="3" t="e">
        <f>1/[1]!fa_netturndays($A22,O$1)</f>
        <v>#VALUE!</v>
      </c>
      <c r="P22" s="3" t="e">
        <f>1/[1]!fa_netturndays($A22,P$1)</f>
        <v>#VALUE!</v>
      </c>
      <c r="Q22" s="3" t="e">
        <f>1/[1]!fa_netturndays($A22,Q$1)</f>
        <v>#VALUE!</v>
      </c>
      <c r="R22" s="3" t="e">
        <f>1/[1]!fa_netturndays($A22,R$1)</f>
        <v>#VALUE!</v>
      </c>
      <c r="S22" s="3" t="e">
        <f>1/[1]!fa_netturndays($A22,S$1)</f>
        <v>#VALUE!</v>
      </c>
      <c r="T22" s="3" t="e">
        <f>1/[1]!fa_netturndays($A22,T$1)</f>
        <v>#VALUE!</v>
      </c>
      <c r="U22" s="3" t="e">
        <f>1/[1]!fa_netturndays($A22,U$1)</f>
        <v>#VALUE!</v>
      </c>
      <c r="V22" s="3" t="e">
        <f>1/[1]!fa_netturndays($A22,V$1)</f>
        <v>#VALUE!</v>
      </c>
      <c r="W22" s="3" t="e">
        <f>1/[1]!fa_netturndays($A22,W$1)</f>
        <v>#VALUE!</v>
      </c>
      <c r="X22" s="3" t="e">
        <f>1/[1]!fa_netturndays($A22,X$1)</f>
        <v>#VALUE!</v>
      </c>
      <c r="Y22" s="3" t="e">
        <f>1/[1]!fa_netturndays($A22,Y$1)</f>
        <v>#VALUE!</v>
      </c>
    </row>
    <row r="23" spans="1:25">
      <c r="A23" s="8" t="s">
        <v>21</v>
      </c>
      <c r="B23" s="1" t="s">
        <v>64</v>
      </c>
      <c r="C23" s="3" t="e">
        <f ca="1">1/[1]!fa_netturndays($A23,C$1)</f>
        <v>#VALUE!</v>
      </c>
      <c r="D23" s="3" t="e">
        <f>1/[1]!fa_netturndays($A23,D$1)</f>
        <v>#VALUE!</v>
      </c>
      <c r="E23" s="3" t="e">
        <f>1/[1]!fa_netturndays($A23,E$1)</f>
        <v>#VALUE!</v>
      </c>
      <c r="F23" s="3" t="e">
        <f>1/[1]!fa_netturndays($A23,F$1)</f>
        <v>#VALUE!</v>
      </c>
      <c r="G23" s="3" t="e">
        <f>1/[1]!fa_netturndays($A23,G$1)</f>
        <v>#VALUE!</v>
      </c>
      <c r="H23" s="3" t="e">
        <f>1/[1]!fa_netturndays($A23,H$1)</f>
        <v>#VALUE!</v>
      </c>
      <c r="I23" s="3" t="e">
        <f>1/[1]!fa_netturndays($A23,I$1)</f>
        <v>#VALUE!</v>
      </c>
      <c r="J23" s="3" t="e">
        <f>1/[1]!fa_netturndays($A23,J$1)</f>
        <v>#VALUE!</v>
      </c>
      <c r="K23" s="3" t="e">
        <f>1/[1]!fa_netturndays($A23,K$1)</f>
        <v>#VALUE!</v>
      </c>
      <c r="L23" s="3" t="e">
        <f>1/[1]!fa_netturndays($A23,L$1)</f>
        <v>#VALUE!</v>
      </c>
      <c r="M23" s="3" t="e">
        <f>1/[1]!fa_netturndays($A23,M$1)</f>
        <v>#VALUE!</v>
      </c>
      <c r="N23" s="3" t="e">
        <f>1/[1]!fa_netturndays($A23,N$1)</f>
        <v>#VALUE!</v>
      </c>
      <c r="O23" s="3" t="e">
        <f>1/[1]!fa_netturndays($A23,O$1)</f>
        <v>#VALUE!</v>
      </c>
      <c r="P23" s="3" t="e">
        <f>1/[1]!fa_netturndays($A23,P$1)</f>
        <v>#VALUE!</v>
      </c>
      <c r="Q23" s="3" t="e">
        <f>1/[1]!fa_netturndays($A23,Q$1)</f>
        <v>#VALUE!</v>
      </c>
      <c r="R23" s="3" t="e">
        <f>1/[1]!fa_netturndays($A23,R$1)</f>
        <v>#VALUE!</v>
      </c>
      <c r="S23" s="3" t="e">
        <f>1/[1]!fa_netturndays($A23,S$1)</f>
        <v>#VALUE!</v>
      </c>
      <c r="T23" s="3" t="e">
        <f>1/[1]!fa_netturndays($A23,T$1)</f>
        <v>#VALUE!</v>
      </c>
      <c r="U23" s="3" t="e">
        <f>1/[1]!fa_netturndays($A23,U$1)</f>
        <v>#VALUE!</v>
      </c>
      <c r="V23" s="3" t="e">
        <f>1/[1]!fa_netturndays($A23,V$1)</f>
        <v>#VALUE!</v>
      </c>
      <c r="W23" s="3" t="e">
        <f>1/[1]!fa_netturndays($A23,W$1)</f>
        <v>#VALUE!</v>
      </c>
      <c r="X23" s="3" t="e">
        <f>1/[1]!fa_netturndays($A23,X$1)</f>
        <v>#VALUE!</v>
      </c>
      <c r="Y23" s="3" t="e">
        <f>1/[1]!fa_netturndays($A23,Y$1)</f>
        <v>#VALUE!</v>
      </c>
    </row>
    <row r="24" spans="1:25">
      <c r="A24" s="8" t="s">
        <v>22</v>
      </c>
      <c r="B24" s="1" t="s">
        <v>65</v>
      </c>
      <c r="C24" s="3">
        <f ca="1">1/[1]!fa_netturndays($A24,C$1)</f>
        <v>2.8816367696851811E-2</v>
      </c>
      <c r="D24" s="3">
        <f>1/[1]!fa_netturndays($A24,D$1)</f>
        <v>2.8816367696851811E-2</v>
      </c>
      <c r="E24" s="3">
        <f>1/[1]!fa_netturndays($A24,E$1)</f>
        <v>2.2370213613169793E-2</v>
      </c>
      <c r="F24" s="3">
        <f>1/[1]!fa_netturndays($A24,F$1)</f>
        <v>3.3962892144043418E-2</v>
      </c>
      <c r="G24" s="3">
        <f>1/[1]!fa_netturndays($A24,G$1)</f>
        <v>2.7383830943181291E-2</v>
      </c>
      <c r="H24" s="3">
        <f>1/[1]!fa_netturndays($A24,H$1)</f>
        <v>2.6480456099375854E-2</v>
      </c>
      <c r="I24" s="3">
        <f>1/[1]!fa_netturndays($A24,I$1)</f>
        <v>1.9160061235555709E-2</v>
      </c>
      <c r="J24" s="3">
        <f>1/[1]!fa_netturndays($A24,J$1)</f>
        <v>3.6837161328348036E-2</v>
      </c>
      <c r="K24" s="3">
        <f>1/[1]!fa_netturndays($A24,K$1)</f>
        <v>3.0121207739945543E-2</v>
      </c>
      <c r="L24" s="3">
        <f>1/[1]!fa_netturndays($A24,L$1)</f>
        <v>2.7710579622193959E-2</v>
      </c>
      <c r="M24" s="3">
        <f>1/[1]!fa_netturndays($A24,M$1)</f>
        <v>2.1125347247895387E-2</v>
      </c>
      <c r="N24" s="3">
        <f>1/[1]!fa_netturndays($A24,N$1)</f>
        <v>3.7780472784836434E-2</v>
      </c>
      <c r="O24" s="3">
        <f>1/[1]!fa_netturndays($A24,O$1)</f>
        <v>3.2958050992696497E-2</v>
      </c>
      <c r="P24" s="3">
        <f>1/[1]!fa_netturndays($A24,P$1)</f>
        <v>3.4483472071835969E-2</v>
      </c>
      <c r="Q24" s="3">
        <f>1/[1]!fa_netturndays($A24,Q$1)</f>
        <v>2.6780429933022147E-2</v>
      </c>
      <c r="R24" s="3">
        <f>1/[1]!fa_netturndays($A24,R$1)</f>
        <v>4.4585135315885684E-2</v>
      </c>
      <c r="S24" s="3">
        <f>1/[1]!fa_netturndays($A24,S$1)</f>
        <v>3.6184162915575115E-2</v>
      </c>
      <c r="T24" s="3">
        <f>1/[1]!fa_netturndays($A24,T$1)</f>
        <v>3.6024741792663198E-2</v>
      </c>
      <c r="U24" s="3">
        <f>1/[1]!fa_netturndays($A24,U$1)</f>
        <v>2.9198273798053058E-2</v>
      </c>
      <c r="V24" s="3">
        <f>1/[1]!fa_netturndays($A24,V$1)</f>
        <v>5.4327158146357364E-2</v>
      </c>
      <c r="W24" s="3">
        <f>1/[1]!fa_netturndays($A24,W$1)</f>
        <v>4.2566414247830177E-2</v>
      </c>
      <c r="X24" s="3">
        <f>1/[1]!fa_netturndays($A24,X$1)</f>
        <v>4.24558141114635E-2</v>
      </c>
      <c r="Y24" s="3">
        <f>1/[1]!fa_netturndays($A24,Y$1)</f>
        <v>3.5644270183567993E-2</v>
      </c>
    </row>
    <row r="25" spans="1:25">
      <c r="A25" s="8" t="s">
        <v>23</v>
      </c>
      <c r="B25" s="1" t="s">
        <v>66</v>
      </c>
      <c r="C25" s="3">
        <f ca="1">1/[1]!fa_netturndays($A25,C$1)</f>
        <v>4.7051073940762703E-2</v>
      </c>
      <c r="D25" s="3">
        <f>1/[1]!fa_netturndays($A25,D$1)</f>
        <v>4.7051073940762703E-2</v>
      </c>
      <c r="E25" s="3">
        <f>1/[1]!fa_netturndays($A25,E$1)</f>
        <v>4.2120692632669654E-2</v>
      </c>
      <c r="F25" s="3">
        <f>1/[1]!fa_netturndays($A25,F$1)</f>
        <v>4.2765380569121679E-2</v>
      </c>
      <c r="G25" s="3">
        <f>1/[1]!fa_netturndays($A25,G$1)</f>
        <v>3.8190824272560271E-2</v>
      </c>
      <c r="H25" s="3">
        <f>1/[1]!fa_netturndays($A25,H$1)</f>
        <v>3.5913219296890994E-2</v>
      </c>
      <c r="I25" s="3">
        <f>1/[1]!fa_netturndays($A25,I$1)</f>
        <v>2.8797779115274633E-2</v>
      </c>
      <c r="J25" s="3">
        <f>1/[1]!fa_netturndays($A25,J$1)</f>
        <v>3.9967865835867963E-2</v>
      </c>
      <c r="K25" s="3">
        <f>1/[1]!fa_netturndays($A25,K$1)</f>
        <v>3.844837728623663E-2</v>
      </c>
      <c r="L25" s="3">
        <f>1/[1]!fa_netturndays($A25,L$1)</f>
        <v>3.7145584690075818E-2</v>
      </c>
      <c r="M25" s="3">
        <f>1/[1]!fa_netturndays($A25,M$1)</f>
        <v>4.2331088374613197E-2</v>
      </c>
      <c r="N25" s="3">
        <f>1/[1]!fa_netturndays($A25,N$1)</f>
        <v>4.017306556646031E-2</v>
      </c>
      <c r="O25" s="3">
        <f>1/[1]!fa_netturndays($A25,O$1)</f>
        <v>3.9466414081616545E-2</v>
      </c>
      <c r="P25" s="3">
        <f>1/[1]!fa_netturndays($A25,P$1)</f>
        <v>3.8334298079835009E-2</v>
      </c>
      <c r="Q25" s="3">
        <f>1/[1]!fa_netturndays($A25,Q$1)</f>
        <v>3.7957434532914787E-2</v>
      </c>
      <c r="R25" s="3">
        <f>1/[1]!fa_netturndays($A25,R$1)</f>
        <v>4.0546732136123489E-2</v>
      </c>
      <c r="S25" s="3">
        <f>1/[1]!fa_netturndays($A25,S$1)</f>
        <v>3.8930955949623341E-2</v>
      </c>
      <c r="T25" s="3">
        <f>1/[1]!fa_netturndays($A25,T$1)</f>
        <v>3.826725853359865E-2</v>
      </c>
      <c r="U25" s="3">
        <f>1/[1]!fa_netturndays($A25,U$1)</f>
        <v>3.6131214117187983E-2</v>
      </c>
      <c r="V25" s="3">
        <f>1/[1]!fa_netturndays($A25,V$1)</f>
        <v>3.6511941230379395E-2</v>
      </c>
      <c r="W25" s="3">
        <f>1/[1]!fa_netturndays($A25,W$1)</f>
        <v>4.1873942682947259E-2</v>
      </c>
      <c r="X25" s="3">
        <f>1/[1]!fa_netturndays($A25,X$1)</f>
        <v>4.0512729099483058E-2</v>
      </c>
      <c r="Y25" s="3">
        <f>1/[1]!fa_netturndays($A25,Y$1)</f>
        <v>3.9771552204139422E-2</v>
      </c>
    </row>
    <row r="26" spans="1:25">
      <c r="A26" s="8" t="s">
        <v>24</v>
      </c>
      <c r="B26" s="1" t="s">
        <v>67</v>
      </c>
      <c r="C26" s="3">
        <f ca="1">1/[1]!fa_netturndays($A26,C$1)</f>
        <v>1.4353483231543215E-2</v>
      </c>
      <c r="D26" s="3">
        <f>1/[1]!fa_netturndays($A26,D$1)</f>
        <v>1.4353483231543215E-2</v>
      </c>
      <c r="E26" s="3">
        <f>1/[1]!fa_netturndays($A26,E$1)</f>
        <v>1.3578101238322834E-2</v>
      </c>
      <c r="F26" s="3">
        <f>1/[1]!fa_netturndays($A26,F$1)</f>
        <v>1.2908972381253589E-2</v>
      </c>
      <c r="G26" s="3">
        <f>1/[1]!fa_netturndays($A26,G$1)</f>
        <v>1.1588895520312436E-2</v>
      </c>
      <c r="H26" s="3">
        <f>1/[1]!fa_netturndays($A26,H$1)</f>
        <v>1.0932092030723551E-2</v>
      </c>
      <c r="I26" s="3">
        <f>1/[1]!fa_netturndays($A26,I$1)</f>
        <v>9.9976005758617929E-3</v>
      </c>
      <c r="J26" s="3">
        <f>1/[1]!fa_netturndays($A26,J$1)</f>
        <v>1.2053260949483577E-2</v>
      </c>
      <c r="K26" s="3">
        <f>1/[1]!fa_netturndays($A26,K$1)</f>
        <v>1.1208525652952663E-2</v>
      </c>
      <c r="L26" s="3">
        <f>1/[1]!fa_netturndays($A26,L$1)</f>
        <v>1.0902747492368078E-2</v>
      </c>
      <c r="M26" s="3">
        <f>1/[1]!fa_netturndays($A26,M$1)</f>
        <v>1.0408242495396956E-2</v>
      </c>
      <c r="N26" s="3">
        <f>1/[1]!fa_netturndays($A26,N$1)</f>
        <v>1.2062085968899117E-2</v>
      </c>
      <c r="O26" s="3">
        <f>1/[1]!fa_netturndays($A26,O$1)</f>
        <v>1.1297903109182935E-2</v>
      </c>
      <c r="P26" s="3">
        <f>1/[1]!fa_netturndays($A26,P$1)</f>
        <v>1.0987791464903347E-2</v>
      </c>
      <c r="Q26" s="3">
        <f>1/[1]!fa_netturndays($A26,Q$1)</f>
        <v>1.0475668688121534E-2</v>
      </c>
      <c r="R26" s="3">
        <f>1/[1]!fa_netturndays($A26,R$1)</f>
        <v>1.2289602013528394E-2</v>
      </c>
      <c r="S26" s="3">
        <f>1/[1]!fa_netturndays($A26,S$1)</f>
        <v>1.1560493170638661E-2</v>
      </c>
      <c r="T26" s="3">
        <f>1/[1]!fa_netturndays($A26,T$1)</f>
        <v>1.131996445531161E-2</v>
      </c>
      <c r="U26" s="3">
        <f>1/[1]!fa_netturndays($A26,U$1)</f>
        <v>1.0755290258395847E-2</v>
      </c>
      <c r="V26" s="3">
        <f>1/[1]!fa_netturndays($A26,V$1)</f>
        <v>1.1830469373872408E-2</v>
      </c>
      <c r="W26" s="3">
        <f>1/[1]!fa_netturndays($A26,W$1)</f>
        <v>1.0775525333798837E-2</v>
      </c>
      <c r="X26" s="3">
        <f>1/[1]!fa_netturndays($A26,X$1)</f>
        <v>1.0581394733639841E-2</v>
      </c>
      <c r="Y26" s="3">
        <f>1/[1]!fa_netturndays($A26,Y$1)</f>
        <v>1.0193815004684059E-2</v>
      </c>
    </row>
    <row r="27" spans="1:25">
      <c r="A27" s="8" t="s">
        <v>25</v>
      </c>
      <c r="B27" s="1" t="s">
        <v>68</v>
      </c>
      <c r="C27" s="3">
        <f ca="1">1/[1]!fa_netturndays($A27,C$1)</f>
        <v>1.4724222671474616E-2</v>
      </c>
      <c r="D27" s="3">
        <f>1/[1]!fa_netturndays($A27,D$1)</f>
        <v>1.4724222671474616E-2</v>
      </c>
      <c r="E27" s="3">
        <f>1/[1]!fa_netturndays($A27,E$1)</f>
        <v>1.4589658558220761E-2</v>
      </c>
      <c r="F27" s="3">
        <f>1/[1]!fa_netturndays($A27,F$1)</f>
        <v>1.4361378232746238E-2</v>
      </c>
      <c r="G27" s="3">
        <f>1/[1]!fa_netturndays($A27,G$1)</f>
        <v>1.3127701024485787E-2</v>
      </c>
      <c r="H27" s="3">
        <f>1/[1]!fa_netturndays($A27,H$1)</f>
        <v>1.2634350524894093E-2</v>
      </c>
      <c r="I27" s="3">
        <f>1/[1]!fa_netturndays($A27,I$1)</f>
        <v>1.1599555505033048E-2</v>
      </c>
      <c r="J27" s="3">
        <f>1/[1]!fa_netturndays($A27,J$1)</f>
        <v>1.3756217810450323E-2</v>
      </c>
      <c r="K27" s="3">
        <f>1/[1]!fa_netturndays($A27,K$1)</f>
        <v>1.2692143182605671E-2</v>
      </c>
      <c r="L27" s="3">
        <f>1/[1]!fa_netturndays($A27,L$1)</f>
        <v>1.3542281711961085E-2</v>
      </c>
      <c r="M27" s="3">
        <f>1/[1]!fa_netturndays($A27,M$1)</f>
        <v>1.0551606323788702E-2</v>
      </c>
      <c r="N27" s="3">
        <f>1/[1]!fa_netturndays($A27,N$1)</f>
        <v>1.5438602991692488E-2</v>
      </c>
      <c r="O27" s="3">
        <f>1/[1]!fa_netturndays($A27,O$1)</f>
        <v>1.0449768485379207E-2</v>
      </c>
      <c r="P27" s="3">
        <f>1/[1]!fa_netturndays($A27,P$1)</f>
        <v>1.4646134738581141E-2</v>
      </c>
      <c r="Q27" s="3">
        <f>1/[1]!fa_netturndays($A27,Q$1)</f>
        <v>1.490563984694889E-2</v>
      </c>
      <c r="R27" s="3">
        <f>1/[1]!fa_netturndays($A27,R$1)</f>
        <v>1.6814805099594089E-2</v>
      </c>
      <c r="S27" s="3">
        <f>1/[1]!fa_netturndays($A27,S$1)</f>
        <v>1.5260721801619774E-2</v>
      </c>
      <c r="T27" s="3">
        <f>1/[1]!fa_netturndays($A27,T$1)</f>
        <v>1.5283999639297609E-2</v>
      </c>
      <c r="U27" s="3">
        <f>1/[1]!fa_netturndays($A27,U$1)</f>
        <v>1.4810251063376028E-2</v>
      </c>
      <c r="V27" s="3">
        <f>1/[1]!fa_netturndays($A27,V$1)</f>
        <v>1.6845821983460772E-2</v>
      </c>
      <c r="W27" s="3">
        <f>1/[1]!fa_netturndays($A27,W$1)</f>
        <v>1.5333401822528139E-2</v>
      </c>
      <c r="X27" s="3">
        <f>1/[1]!fa_netturndays($A27,X$1)</f>
        <v>1.5495467575734098E-2</v>
      </c>
      <c r="Y27" s="3">
        <f>1/[1]!fa_netturndays($A27,Y$1)</f>
        <v>1.5583363201446135E-2</v>
      </c>
    </row>
    <row r="28" spans="1:25">
      <c r="A28" s="8" t="s">
        <v>26</v>
      </c>
      <c r="B28" s="1" t="s">
        <v>69</v>
      </c>
      <c r="C28" s="3">
        <f ca="1">1/[1]!fa_netturndays($A28,C$1)</f>
        <v>1.2359595000791014E-2</v>
      </c>
      <c r="D28" s="3">
        <f>1/[1]!fa_netturndays($A28,D$1)</f>
        <v>1.2359595000791014E-2</v>
      </c>
      <c r="E28" s="3">
        <f>1/[1]!fa_netturndays($A28,E$1)</f>
        <v>1.1494569965148463E-2</v>
      </c>
      <c r="F28" s="3">
        <f>1/[1]!fa_netturndays($A28,F$1)</f>
        <v>1.1793342893803306E-2</v>
      </c>
      <c r="G28" s="3">
        <f>1/[1]!fa_netturndays($A28,G$1)</f>
        <v>9.9200936456840163E-3</v>
      </c>
      <c r="H28" s="3">
        <f>1/[1]!fa_netturndays($A28,H$1)</f>
        <v>9.3813382666664159E-3</v>
      </c>
      <c r="I28" s="3">
        <f>1/[1]!fa_netturndays($A28,I$1)</f>
        <v>7.4345683638299331E-3</v>
      </c>
      <c r="J28" s="3">
        <f>1/[1]!fa_netturndays($A28,J$1)</f>
        <v>9.2139657922305999E-3</v>
      </c>
      <c r="K28" s="3">
        <f>1/[1]!fa_netturndays($A28,K$1)</f>
        <v>7.6364558292121932E-3</v>
      </c>
      <c r="L28" s="3">
        <f>1/[1]!fa_netturndays($A28,L$1)</f>
        <v>7.4287140598813788E-3</v>
      </c>
      <c r="M28" s="3">
        <f>1/[1]!fa_netturndays($A28,M$1)</f>
        <v>6.9565749720519607E-3</v>
      </c>
      <c r="N28" s="3">
        <f>1/[1]!fa_netturndays($A28,N$1)</f>
        <v>9.4369268836341988E-3</v>
      </c>
      <c r="O28" s="3">
        <f>1/[1]!fa_netturndays($A28,O$1)</f>
        <v>8.3452531365633912E-3</v>
      </c>
      <c r="P28" s="3">
        <f>1/[1]!fa_netturndays($A28,P$1)</f>
        <v>8.162838839440226E-3</v>
      </c>
      <c r="Q28" s="3">
        <f>1/[1]!fa_netturndays($A28,Q$1)</f>
        <v>8.2948865342470975E-3</v>
      </c>
      <c r="R28" s="3">
        <f>1/[1]!fa_netturndays($A28,R$1)</f>
        <v>1.0151511306245718E-2</v>
      </c>
      <c r="S28" s="3">
        <f>1/[1]!fa_netturndays($A28,S$1)</f>
        <v>8.5321174497159664E-3</v>
      </c>
      <c r="T28" s="3">
        <f>1/[1]!fa_netturndays($A28,T$1)</f>
        <v>8.3777704239570722E-3</v>
      </c>
      <c r="U28" s="3">
        <f>1/[1]!fa_netturndays($A28,U$1)</f>
        <v>7.4758865280039237E-3</v>
      </c>
      <c r="V28" s="3">
        <f>1/[1]!fa_netturndays($A28,V$1)</f>
        <v>1.1565480279699574E-2</v>
      </c>
      <c r="W28" s="3">
        <f>1/[1]!fa_netturndays($A28,W$1)</f>
        <v>9.1761892570681892E-3</v>
      </c>
      <c r="X28" s="3">
        <f>1/[1]!fa_netturndays($A28,X$1)</f>
        <v>8.9048463735903628E-3</v>
      </c>
      <c r="Y28" s="3">
        <f>1/[1]!fa_netturndays($A28,Y$1)</f>
        <v>8.190122221193908E-3</v>
      </c>
    </row>
    <row r="29" spans="1:25">
      <c r="A29" s="8" t="s">
        <v>27</v>
      </c>
      <c r="B29" s="1" t="s">
        <v>70</v>
      </c>
      <c r="C29" s="3">
        <f ca="1">1/[1]!fa_netturndays($A29,C$1)</f>
        <v>1.2925708199552252E-2</v>
      </c>
      <c r="D29" s="3">
        <f>1/[1]!fa_netturndays($A29,D$1)</f>
        <v>1.2925708199552252E-2</v>
      </c>
      <c r="E29" s="3">
        <f>1/[1]!fa_netturndays($A29,E$1)</f>
        <v>1.2131785155790319E-2</v>
      </c>
      <c r="F29" s="3">
        <f>1/[1]!fa_netturndays($A29,F$1)</f>
        <v>1.2493269251190922E-2</v>
      </c>
      <c r="G29" s="3">
        <f>1/[1]!fa_netturndays($A29,G$1)</f>
        <v>1.1108605503425338E-2</v>
      </c>
      <c r="H29" s="3">
        <f>1/[1]!fa_netturndays($A29,H$1)</f>
        <v>1.0834107069146521E-2</v>
      </c>
      <c r="I29" s="3">
        <f>1/[1]!fa_netturndays($A29,I$1)</f>
        <v>1.006736071051405E-2</v>
      </c>
      <c r="J29" s="3">
        <f>1/[1]!fa_netturndays($A29,J$1)</f>
        <v>1.2367222408417625E-2</v>
      </c>
      <c r="K29" s="3">
        <f>1/[1]!fa_netturndays($A29,K$1)</f>
        <v>1.3159626266614028E-2</v>
      </c>
      <c r="L29" s="3">
        <f>1/[1]!fa_netturndays($A29,L$1)</f>
        <v>1.2866767199007714E-2</v>
      </c>
      <c r="M29" s="3">
        <f>1/[1]!fa_netturndays($A29,M$1)</f>
        <v>1.2067923098366847E-2</v>
      </c>
      <c r="N29" s="3">
        <f>1/[1]!fa_netturndays($A29,N$1)</f>
        <v>1.5049158074851503E-2</v>
      </c>
      <c r="O29" s="3">
        <f>1/[1]!fa_netturndays($A29,O$1)</f>
        <v>1.3413276461041139E-2</v>
      </c>
      <c r="P29" s="3">
        <f>1/[1]!fa_netturndays($A29,P$1)</f>
        <v>1.3279595237937147E-2</v>
      </c>
      <c r="Q29" s="3">
        <f>1/[1]!fa_netturndays($A29,Q$1)</f>
        <v>1.2286461302561481E-2</v>
      </c>
      <c r="R29" s="3">
        <f>1/[1]!fa_netturndays($A29,R$1)</f>
        <v>1.5487044313079894E-2</v>
      </c>
      <c r="S29" s="3">
        <f>1/[1]!fa_netturndays($A29,S$1)</f>
        <v>1.3520438170360223E-2</v>
      </c>
      <c r="T29" s="3">
        <f>1/[1]!fa_netturndays($A29,T$1)</f>
        <v>1.3851835229649577E-2</v>
      </c>
      <c r="U29" s="3">
        <f>1/[1]!fa_netturndays($A29,U$1)</f>
        <v>1.3253441587444219E-2</v>
      </c>
      <c r="V29" s="3">
        <f>1/[1]!fa_netturndays($A29,V$1)</f>
        <v>1.7559077516303603E-2</v>
      </c>
      <c r="W29" s="3">
        <f>1/[1]!fa_netturndays($A29,W$1)</f>
        <v>1.5841508872037044E-2</v>
      </c>
      <c r="X29" s="3">
        <f>1/[1]!fa_netturndays($A29,X$1)</f>
        <v>1.6576847779779892E-2</v>
      </c>
      <c r="Y29" s="3">
        <f>1/[1]!fa_netturndays($A29,Y$1)</f>
        <v>1.4756444877300162E-2</v>
      </c>
    </row>
    <row r="30" spans="1:25">
      <c r="A30" s="8" t="s">
        <v>28</v>
      </c>
      <c r="B30" s="1" t="s">
        <v>71</v>
      </c>
      <c r="C30" s="3">
        <f ca="1">1/[1]!fa_netturndays($A30,C$1)</f>
        <v>3.963865402986376E-2</v>
      </c>
      <c r="D30" s="3">
        <f>1/[1]!fa_netturndays($A30,D$1)</f>
        <v>3.963865402986376E-2</v>
      </c>
      <c r="E30" s="3">
        <f>1/[1]!fa_netturndays($A30,E$1)</f>
        <v>3.3318784130929494E-2</v>
      </c>
      <c r="F30" s="3">
        <f>1/[1]!fa_netturndays($A30,F$1)</f>
        <v>3.59460090943403E-2</v>
      </c>
      <c r="G30" s="3">
        <f>1/[1]!fa_netturndays($A30,G$1)</f>
        <v>3.2360155587628066E-2</v>
      </c>
      <c r="H30" s="3">
        <f>1/[1]!fa_netturndays($A30,H$1)</f>
        <v>3.0091840296585178E-2</v>
      </c>
      <c r="I30" s="3">
        <f>1/[1]!fa_netturndays($A30,I$1)</f>
        <v>2.378019490247742E-2</v>
      </c>
      <c r="J30" s="3">
        <f>1/[1]!fa_netturndays($A30,J$1)</f>
        <v>3.5583516291912934E-2</v>
      </c>
      <c r="K30" s="3">
        <f>1/[1]!fa_netturndays($A30,K$1)</f>
        <v>3.1144789009626854E-2</v>
      </c>
      <c r="L30" s="3">
        <f>1/[1]!fa_netturndays($A30,L$1)</f>
        <v>2.8820021845576561E-2</v>
      </c>
      <c r="M30" s="3">
        <f>1/[1]!fa_netturndays($A30,M$1)</f>
        <v>2.5852418881572654E-2</v>
      </c>
      <c r="N30" s="3">
        <f>1/[1]!fa_netturndays($A30,N$1)</f>
        <v>1.5899363389489884E-2</v>
      </c>
      <c r="O30" s="3">
        <f>1/[1]!fa_netturndays($A30,O$1)</f>
        <v>1.3953306654611012E-2</v>
      </c>
      <c r="P30" s="3">
        <f>1/[1]!fa_netturndays($A30,P$1)</f>
        <v>1.3531488450198033E-2</v>
      </c>
      <c r="Q30" s="3">
        <f>1/[1]!fa_netturndays($A30,Q$1)</f>
        <v>1.0574927059440608E-2</v>
      </c>
      <c r="R30" s="3">
        <f>1/[1]!fa_netturndays($A30,R$1)</f>
        <v>1.817018926069134E-2</v>
      </c>
      <c r="S30" s="3">
        <f>1/[1]!fa_netturndays($A30,S$1)</f>
        <v>1.6904370286850257E-2</v>
      </c>
      <c r="T30" s="3">
        <f>1/[1]!fa_netturndays($A30,T$1)</f>
        <v>1.6499798702455829E-2</v>
      </c>
      <c r="U30" s="3">
        <f>1/[1]!fa_netturndays($A30,U$1)</f>
        <v>1.4591297750021886E-2</v>
      </c>
      <c r="V30" s="3">
        <f>1/[1]!fa_netturndays($A30,V$1)</f>
        <v>1.7860332202178961E-2</v>
      </c>
      <c r="W30" s="3">
        <f>1/[1]!fa_netturndays($A30,W$1)</f>
        <v>1.8238090982540676E-2</v>
      </c>
      <c r="X30" s="3">
        <f>1/[1]!fa_netturndays($A30,X$1)</f>
        <v>1.8938748300247339E-2</v>
      </c>
      <c r="Y30" s="3">
        <f>1/[1]!fa_netturndays($A30,Y$1)</f>
        <v>1.4844173290878997E-2</v>
      </c>
    </row>
    <row r="31" spans="1:25">
      <c r="A31" s="8" t="s">
        <v>29</v>
      </c>
      <c r="B31" s="1" t="s">
        <v>72</v>
      </c>
      <c r="C31" s="3">
        <f ca="1">1/[1]!fa_netturndays($A31,C$1)</f>
        <v>4.2908142249073189E-2</v>
      </c>
      <c r="D31" s="3">
        <f>1/[1]!fa_netturndays($A31,D$1)</f>
        <v>4.2908142249073189E-2</v>
      </c>
      <c r="E31" s="3">
        <f>1/[1]!fa_netturndays($A31,E$1)</f>
        <v>4.3551730745779837E-2</v>
      </c>
      <c r="F31" s="3">
        <f>1/[1]!fa_netturndays($A31,F$1)</f>
        <v>1.7401533423125247E-2</v>
      </c>
      <c r="G31" s="3">
        <f>1/[1]!fa_netturndays($A31,G$1)</f>
        <v>2.6241966677950711E-2</v>
      </c>
      <c r="H31" s="3">
        <f>1/[1]!fa_netturndays($A31,H$1)</f>
        <v>2.6431601622900338E-2</v>
      </c>
      <c r="I31" s="3">
        <f>1/[1]!fa_netturndays($A31,I$1)</f>
        <v>2.2848473493485903E-2</v>
      </c>
      <c r="J31" s="3" t="e">
        <f>1/[1]!fa_netturndays($A31,J$1)</f>
        <v>#VALUE!</v>
      </c>
      <c r="K31" s="3" t="e">
        <f>1/[1]!fa_netturndays($A31,K$1)</f>
        <v>#VALUE!</v>
      </c>
      <c r="L31" s="3" t="e">
        <f>1/[1]!fa_netturndays($A31,L$1)</f>
        <v>#VALUE!</v>
      </c>
      <c r="M31" s="3" t="e">
        <f>1/[1]!fa_netturndays($A31,M$1)</f>
        <v>#VALUE!</v>
      </c>
      <c r="N31" s="3" t="e">
        <f>1/[1]!fa_netturndays($A31,N$1)</f>
        <v>#VALUE!</v>
      </c>
      <c r="O31" s="3" t="e">
        <f>1/[1]!fa_netturndays($A31,O$1)</f>
        <v>#VALUE!</v>
      </c>
      <c r="P31" s="3" t="e">
        <f>1/[1]!fa_netturndays($A31,P$1)</f>
        <v>#VALUE!</v>
      </c>
      <c r="Q31" s="3" t="e">
        <f>1/[1]!fa_netturndays($A31,Q$1)</f>
        <v>#VALUE!</v>
      </c>
      <c r="R31" s="3" t="e">
        <f>1/[1]!fa_netturndays($A31,R$1)</f>
        <v>#VALUE!</v>
      </c>
      <c r="S31" s="3" t="e">
        <f>1/[1]!fa_netturndays($A31,S$1)</f>
        <v>#VALUE!</v>
      </c>
      <c r="T31" s="3" t="e">
        <f>1/[1]!fa_netturndays($A31,T$1)</f>
        <v>#VALUE!</v>
      </c>
      <c r="U31" s="3" t="e">
        <f>1/[1]!fa_netturndays($A31,U$1)</f>
        <v>#VALUE!</v>
      </c>
      <c r="V31" s="3" t="e">
        <f>1/[1]!fa_netturndays($A31,V$1)</f>
        <v>#VALUE!</v>
      </c>
      <c r="W31" s="3" t="e">
        <f>1/[1]!fa_netturndays($A31,W$1)</f>
        <v>#VALUE!</v>
      </c>
      <c r="X31" s="3" t="e">
        <f>1/[1]!fa_netturndays($A31,X$1)</f>
        <v>#VALUE!</v>
      </c>
      <c r="Y31" s="3" t="e">
        <f>1/[1]!fa_netturndays($A31,Y$1)</f>
        <v>#VALUE!</v>
      </c>
    </row>
  </sheetData>
  <phoneticPr fontId="2" type="noConversion"/>
  <conditionalFormatting sqref="C2:Y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全行业截面!J1" display="营业周期" xr:uid="{A6D49B29-6B93-374C-AF1B-2493E8FD34DF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24A54-80F6-724B-BE97-1428CB0DF235}">
  <sheetPr codeName="Sheet1"/>
  <dimension ref="A1:Y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13" sqref="D13"/>
    </sheetView>
  </sheetViews>
  <sheetFormatPr baseColWidth="10" defaultRowHeight="16"/>
  <cols>
    <col min="1" max="1" width="10.83203125" style="9"/>
    <col min="2" max="2" width="11.83203125" style="9" bestFit="1" customWidth="1"/>
    <col min="3" max="25" width="13.33203125" bestFit="1" customWidth="1"/>
  </cols>
  <sheetData>
    <row r="1" spans="1:25" s="7" customFormat="1">
      <c r="A1" s="12"/>
      <c r="B1" s="12">
        <f ca="1">TODAY()</f>
        <v>44440</v>
      </c>
      <c r="C1" s="10">
        <f ca="1">[1]!TDays("2016-01-01",B1,"Days=Alldays","Period=Q","Direction=H","Order=D","cols=23;rows=1")</f>
        <v>44440</v>
      </c>
      <c r="D1" s="11">
        <v>44377</v>
      </c>
      <c r="E1" s="11">
        <v>44286</v>
      </c>
      <c r="F1" s="11">
        <v>44196</v>
      </c>
      <c r="G1" s="11">
        <v>44104</v>
      </c>
      <c r="H1" s="11">
        <v>44012</v>
      </c>
      <c r="I1" s="11">
        <v>43921</v>
      </c>
      <c r="J1" s="11">
        <v>43830</v>
      </c>
      <c r="K1" s="11">
        <v>43738</v>
      </c>
      <c r="L1" s="11">
        <v>43646</v>
      </c>
      <c r="M1" s="11">
        <v>43555</v>
      </c>
      <c r="N1" s="11">
        <v>43465</v>
      </c>
      <c r="O1" s="11">
        <v>43373</v>
      </c>
      <c r="P1" s="11">
        <v>43281</v>
      </c>
      <c r="Q1" s="11">
        <v>43190</v>
      </c>
      <c r="R1" s="11">
        <v>43100</v>
      </c>
      <c r="S1" s="11">
        <v>43008</v>
      </c>
      <c r="T1" s="11">
        <v>42916</v>
      </c>
      <c r="U1" s="11">
        <v>42825</v>
      </c>
      <c r="V1" s="11">
        <v>42735</v>
      </c>
      <c r="W1" s="11">
        <v>42643</v>
      </c>
      <c r="X1" s="11">
        <v>42551</v>
      </c>
      <c r="Y1" s="11">
        <v>42460</v>
      </c>
    </row>
    <row r="2" spans="1:25">
      <c r="A2" s="8" t="s">
        <v>0</v>
      </c>
      <c r="B2" s="1" t="s">
        <v>43</v>
      </c>
      <c r="C2" s="3" t="str">
        <f>[1]!s_fa_yoynetprofit("","")</f>
        <v/>
      </c>
    </row>
    <row r="3" spans="1:25">
      <c r="A3" s="8" t="s">
        <v>1</v>
      </c>
      <c r="B3" s="1" t="s">
        <v>44</v>
      </c>
    </row>
    <row r="4" spans="1:25">
      <c r="A4" s="8" t="s">
        <v>2</v>
      </c>
      <c r="B4" s="1" t="s">
        <v>45</v>
      </c>
    </row>
    <row r="5" spans="1:25">
      <c r="A5" s="8" t="s">
        <v>3</v>
      </c>
      <c r="B5" s="1" t="s">
        <v>46</v>
      </c>
    </row>
    <row r="6" spans="1:25">
      <c r="A6" s="8" t="s">
        <v>4</v>
      </c>
      <c r="B6" s="1" t="s">
        <v>47</v>
      </c>
    </row>
    <row r="7" spans="1:25">
      <c r="A7" s="8" t="s">
        <v>5</v>
      </c>
      <c r="B7" s="1" t="s">
        <v>48</v>
      </c>
    </row>
    <row r="8" spans="1:25">
      <c r="A8" s="8" t="s">
        <v>6</v>
      </c>
      <c r="B8" s="1" t="s">
        <v>49</v>
      </c>
    </row>
    <row r="9" spans="1:25">
      <c r="A9" s="8" t="s">
        <v>7</v>
      </c>
      <c r="B9" s="1" t="s">
        <v>50</v>
      </c>
    </row>
    <row r="10" spans="1:25">
      <c r="A10" s="8" t="s">
        <v>8</v>
      </c>
      <c r="B10" s="1" t="s">
        <v>51</v>
      </c>
    </row>
    <row r="11" spans="1:25">
      <c r="A11" s="8" t="s">
        <v>9</v>
      </c>
      <c r="B11" s="1" t="s">
        <v>52</v>
      </c>
    </row>
    <row r="12" spans="1:25">
      <c r="A12" s="8" t="s">
        <v>10</v>
      </c>
      <c r="B12" s="1" t="s">
        <v>53</v>
      </c>
    </row>
    <row r="13" spans="1:25">
      <c r="A13" s="8" t="s">
        <v>11</v>
      </c>
      <c r="B13" s="1" t="s">
        <v>54</v>
      </c>
    </row>
    <row r="14" spans="1:25">
      <c r="A14" s="8" t="s">
        <v>12</v>
      </c>
      <c r="B14" s="1" t="s">
        <v>55</v>
      </c>
    </row>
    <row r="15" spans="1:25">
      <c r="A15" s="8" t="s">
        <v>13</v>
      </c>
      <c r="B15" s="1" t="s">
        <v>56</v>
      </c>
    </row>
    <row r="16" spans="1:25">
      <c r="A16" s="8" t="s">
        <v>14</v>
      </c>
      <c r="B16" s="1" t="s">
        <v>57</v>
      </c>
    </row>
    <row r="17" spans="1:2">
      <c r="A17" s="8" t="s">
        <v>15</v>
      </c>
      <c r="B17" s="1" t="s">
        <v>58</v>
      </c>
    </row>
    <row r="18" spans="1:2">
      <c r="A18" s="8" t="s">
        <v>16</v>
      </c>
      <c r="B18" s="1" t="s">
        <v>59</v>
      </c>
    </row>
    <row r="19" spans="1:2">
      <c r="A19" s="8" t="s">
        <v>17</v>
      </c>
      <c r="B19" s="1" t="s">
        <v>60</v>
      </c>
    </row>
    <row r="20" spans="1:2">
      <c r="A20" s="8" t="s">
        <v>18</v>
      </c>
      <c r="B20" s="1" t="s">
        <v>61</v>
      </c>
    </row>
    <row r="21" spans="1:2">
      <c r="A21" s="8" t="s">
        <v>19</v>
      </c>
      <c r="B21" s="1" t="s">
        <v>62</v>
      </c>
    </row>
    <row r="22" spans="1:2">
      <c r="A22" s="8" t="s">
        <v>20</v>
      </c>
      <c r="B22" s="1" t="s">
        <v>63</v>
      </c>
    </row>
    <row r="23" spans="1:2">
      <c r="A23" s="8" t="s">
        <v>21</v>
      </c>
      <c r="B23" s="1" t="s">
        <v>64</v>
      </c>
    </row>
    <row r="24" spans="1:2">
      <c r="A24" s="8" t="s">
        <v>22</v>
      </c>
      <c r="B24" s="1" t="s">
        <v>65</v>
      </c>
    </row>
    <row r="25" spans="1:2">
      <c r="A25" s="8" t="s">
        <v>23</v>
      </c>
      <c r="B25" s="1" t="s">
        <v>66</v>
      </c>
    </row>
    <row r="26" spans="1:2">
      <c r="A26" s="8" t="s">
        <v>24</v>
      </c>
      <c r="B26" s="1" t="s">
        <v>67</v>
      </c>
    </row>
    <row r="27" spans="1:2">
      <c r="A27" s="8" t="s">
        <v>25</v>
      </c>
      <c r="B27" s="1" t="s">
        <v>68</v>
      </c>
    </row>
    <row r="28" spans="1:2">
      <c r="A28" s="8" t="s">
        <v>26</v>
      </c>
      <c r="B28" s="1" t="s">
        <v>69</v>
      </c>
    </row>
    <row r="29" spans="1:2">
      <c r="A29" s="8" t="s">
        <v>27</v>
      </c>
      <c r="B29" s="1" t="s">
        <v>70</v>
      </c>
    </row>
    <row r="30" spans="1:2">
      <c r="A30" s="8" t="s">
        <v>28</v>
      </c>
      <c r="B30" s="1" t="s">
        <v>71</v>
      </c>
    </row>
    <row r="31" spans="1:2">
      <c r="A31" s="8" t="s">
        <v>29</v>
      </c>
      <c r="B31" s="1" t="s">
        <v>72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各行业截面对比</vt:lpstr>
      <vt:lpstr>分行业时间序列</vt:lpstr>
      <vt:lpstr>营收同比</vt:lpstr>
      <vt:lpstr>归母净利润同比</vt:lpstr>
      <vt:lpstr>ROA</vt:lpstr>
      <vt:lpstr>ROE</vt:lpstr>
      <vt:lpstr>销售毛利率</vt:lpstr>
      <vt:lpstr>销售净利率</vt:lpstr>
      <vt:lpstr>资产负债率</vt:lpstr>
      <vt:lpstr>总资产周转率</vt:lpstr>
      <vt:lpstr>营业周期倒数</vt:lpstr>
      <vt:lpstr>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2021-08-31T02:04:54Z</dcterms:created>
  <dcterms:modified xsi:type="dcterms:W3CDTF">2021-09-01T07:14:44Z</dcterms:modified>
</cp:coreProperties>
</file>